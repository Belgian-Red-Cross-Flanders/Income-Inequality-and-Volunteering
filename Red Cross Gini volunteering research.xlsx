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odekruisvlaanderen.sharepoint.com/sites/ah-AH-ThirdPillarResearchCenter/Gedeelde documenten/General/Paper 3 - Other outcomes/GINI/"/>
    </mc:Choice>
  </mc:AlternateContent>
  <xr:revisionPtr revIDLastSave="1" documentId="8_{2CBFE8BC-78FF-4B3A-9EB0-D8AC40527F29}" xr6:coauthVersionLast="47" xr6:coauthVersionMax="47" xr10:uidLastSave="{4531A714-D510-4E67-A783-1537A4100D91}"/>
  <bookViews>
    <workbookView xWindow="-110" yWindow="-110" windowWidth="19420" windowHeight="10300" xr2:uid="{00000000-000D-0000-FFFF-FFFF00000000}"/>
  </bookViews>
  <sheets>
    <sheet name="GINI_Analysis" sheetId="1" r:id="rId1"/>
    <sheet name="Gini" sheetId="2" r:id="rId2"/>
    <sheet name="Final datas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22" i="3" l="1"/>
  <c r="AJ122" i="3"/>
  <c r="T122" i="3"/>
  <c r="I122" i="3"/>
  <c r="H122" i="3"/>
  <c r="G122" i="3"/>
  <c r="AK121" i="3"/>
  <c r="AJ121" i="3"/>
  <c r="T121" i="3"/>
  <c r="I121" i="3"/>
  <c r="H121" i="3"/>
  <c r="G121" i="3"/>
  <c r="AK120" i="3"/>
  <c r="AJ120" i="3"/>
  <c r="T120" i="3"/>
  <c r="I120" i="3"/>
  <c r="H120" i="3"/>
  <c r="G120" i="3"/>
  <c r="AK119" i="3"/>
  <c r="AJ119" i="3"/>
  <c r="T119" i="3"/>
  <c r="I119" i="3"/>
  <c r="H119" i="3"/>
  <c r="G119" i="3"/>
  <c r="AK118" i="3"/>
  <c r="AJ118" i="3"/>
  <c r="T118" i="3"/>
  <c r="I118" i="3"/>
  <c r="H118" i="3"/>
  <c r="G118" i="3"/>
  <c r="AK117" i="3"/>
  <c r="AJ117" i="3"/>
  <c r="T117" i="3"/>
  <c r="I117" i="3"/>
  <c r="H117" i="3"/>
  <c r="G117" i="3"/>
  <c r="AK116" i="3"/>
  <c r="AJ116" i="3"/>
  <c r="L116" i="3"/>
  <c r="J116" i="3"/>
  <c r="AL115" i="3"/>
  <c r="AB115" i="3" s="1"/>
  <c r="AD115" i="3"/>
  <c r="AG115" i="3" s="1"/>
  <c r="AA115" i="3"/>
  <c r="AE115" i="3" s="1"/>
  <c r="Z115" i="3"/>
  <c r="AN114" i="3"/>
  <c r="AL114" i="3"/>
  <c r="AO114" i="3" s="1"/>
  <c r="AH114" i="3"/>
  <c r="AE114" i="3"/>
  <c r="AM114" i="3" s="1"/>
  <c r="AC114" i="3"/>
  <c r="AB114" i="3"/>
  <c r="AA114" i="3"/>
  <c r="Z114" i="3"/>
  <c r="AD114" i="3" s="1"/>
  <c r="AL113" i="3"/>
  <c r="AO113" i="3" s="1"/>
  <c r="AH113" i="3"/>
  <c r="AF113" i="3"/>
  <c r="AE113" i="3"/>
  <c r="AM113" i="3" s="1"/>
  <c r="AD113" i="3"/>
  <c r="AG113" i="3" s="1"/>
  <c r="AI113" i="3" s="1"/>
  <c r="AB113" i="3"/>
  <c r="AA113" i="3"/>
  <c r="AC113" i="3" s="1"/>
  <c r="Z113" i="3"/>
  <c r="AL112" i="3"/>
  <c r="AB112" i="3" s="1"/>
  <c r="AH112" i="3"/>
  <c r="AE112" i="3"/>
  <c r="AD112" i="3"/>
  <c r="AG112" i="3" s="1"/>
  <c r="AI112" i="3" s="1"/>
  <c r="AC112" i="3"/>
  <c r="AA112" i="3"/>
  <c r="Z112" i="3"/>
  <c r="AL111" i="3"/>
  <c r="AB111" i="3" s="1"/>
  <c r="AA111" i="3"/>
  <c r="AE111" i="3" s="1"/>
  <c r="Z111" i="3"/>
  <c r="AD111" i="3" s="1"/>
  <c r="AN110" i="3"/>
  <c r="AL110" i="3"/>
  <c r="AM110" i="3" s="1"/>
  <c r="AC110" i="3"/>
  <c r="AB110" i="3"/>
  <c r="AA110" i="3"/>
  <c r="AE110" i="3" s="1"/>
  <c r="AH110" i="3" s="1"/>
  <c r="Z110" i="3"/>
  <c r="AD110" i="3" s="1"/>
  <c r="AL109" i="3"/>
  <c r="AB109" i="3" s="1"/>
  <c r="AD109" i="3"/>
  <c r="AG109" i="3" s="1"/>
  <c r="AA109" i="3"/>
  <c r="AE109" i="3" s="1"/>
  <c r="Z109" i="3"/>
  <c r="AO108" i="3"/>
  <c r="AN108" i="3"/>
  <c r="AL108" i="3"/>
  <c r="AC108" i="3"/>
  <c r="AB108" i="3"/>
  <c r="AA108" i="3"/>
  <c r="AE108" i="3" s="1"/>
  <c r="Z108" i="3"/>
  <c r="AD108" i="3" s="1"/>
  <c r="AL107" i="3"/>
  <c r="AO107" i="3" s="1"/>
  <c r="AH107" i="3"/>
  <c r="AF107" i="3"/>
  <c r="AE107" i="3"/>
  <c r="AM107" i="3" s="1"/>
  <c r="AD107" i="3"/>
  <c r="AG107" i="3" s="1"/>
  <c r="AI107" i="3" s="1"/>
  <c r="AC107" i="3"/>
  <c r="AB107" i="3"/>
  <c r="AA107" i="3"/>
  <c r="Z107" i="3"/>
  <c r="AL106" i="3"/>
  <c r="AB106" i="3" s="1"/>
  <c r="AH106" i="3"/>
  <c r="AE106" i="3"/>
  <c r="AD106" i="3"/>
  <c r="AG106" i="3" s="1"/>
  <c r="AI106" i="3" s="1"/>
  <c r="AC106" i="3"/>
  <c r="AA106" i="3"/>
  <c r="Z106" i="3"/>
  <c r="AL105" i="3"/>
  <c r="AB105" i="3" s="1"/>
  <c r="AA105" i="3"/>
  <c r="AE105" i="3" s="1"/>
  <c r="Z105" i="3"/>
  <c r="AD105" i="3" s="1"/>
  <c r="AN104" i="3"/>
  <c r="AL104" i="3"/>
  <c r="AO104" i="3" s="1"/>
  <c r="AC104" i="3"/>
  <c r="AB104" i="3"/>
  <c r="AA104" i="3"/>
  <c r="AE104" i="3" s="1"/>
  <c r="Z104" i="3"/>
  <c r="AD104" i="3" s="1"/>
  <c r="AL103" i="3"/>
  <c r="AB103" i="3" s="1"/>
  <c r="AD103" i="3"/>
  <c r="AG103" i="3" s="1"/>
  <c r="AA103" i="3"/>
  <c r="AE103" i="3" s="1"/>
  <c r="Z103" i="3"/>
  <c r="AO102" i="3"/>
  <c r="AN102" i="3"/>
  <c r="AL102" i="3"/>
  <c r="AC102" i="3"/>
  <c r="AB102" i="3"/>
  <c r="AA102" i="3"/>
  <c r="AE102" i="3" s="1"/>
  <c r="Z102" i="3"/>
  <c r="AD102" i="3" s="1"/>
  <c r="AL101" i="3"/>
  <c r="AO101" i="3" s="1"/>
  <c r="AH101" i="3"/>
  <c r="AF101" i="3"/>
  <c r="AE101" i="3"/>
  <c r="AM101" i="3" s="1"/>
  <c r="AD101" i="3"/>
  <c r="AG101" i="3" s="1"/>
  <c r="AI101" i="3" s="1"/>
  <c r="AC101" i="3"/>
  <c r="AB101" i="3"/>
  <c r="AA101" i="3"/>
  <c r="Z101" i="3"/>
  <c r="AL100" i="3"/>
  <c r="AB100" i="3" s="1"/>
  <c r="AH100" i="3"/>
  <c r="AE100" i="3"/>
  <c r="AD100" i="3"/>
  <c r="AG100" i="3" s="1"/>
  <c r="AI100" i="3" s="1"/>
  <c r="AC100" i="3"/>
  <c r="AA100" i="3"/>
  <c r="Z100" i="3"/>
  <c r="AL99" i="3"/>
  <c r="AB99" i="3" s="1"/>
  <c r="AA99" i="3"/>
  <c r="AE99" i="3" s="1"/>
  <c r="Z99" i="3"/>
  <c r="AD99" i="3" s="1"/>
  <c r="AN98" i="3"/>
  <c r="AL98" i="3"/>
  <c r="AM98" i="3" s="1"/>
  <c r="AC98" i="3"/>
  <c r="AB98" i="3"/>
  <c r="AA98" i="3"/>
  <c r="AE98" i="3" s="1"/>
  <c r="AH98" i="3" s="1"/>
  <c r="Z98" i="3"/>
  <c r="AD98" i="3" s="1"/>
  <c r="AL97" i="3"/>
  <c r="AB97" i="3" s="1"/>
  <c r="AD97" i="3"/>
  <c r="AG97" i="3" s="1"/>
  <c r="AA97" i="3"/>
  <c r="AE97" i="3" s="1"/>
  <c r="Z97" i="3"/>
  <c r="AO96" i="3"/>
  <c r="AN96" i="3"/>
  <c r="AL96" i="3"/>
  <c r="AC96" i="3"/>
  <c r="AB96" i="3"/>
  <c r="AA96" i="3"/>
  <c r="AE96" i="3" s="1"/>
  <c r="Z96" i="3"/>
  <c r="AD96" i="3" s="1"/>
  <c r="AL95" i="3"/>
  <c r="AO95" i="3" s="1"/>
  <c r="AH95" i="3"/>
  <c r="AF95" i="3"/>
  <c r="AE95" i="3"/>
  <c r="AM95" i="3" s="1"/>
  <c r="AD95" i="3"/>
  <c r="AG95" i="3" s="1"/>
  <c r="AI95" i="3" s="1"/>
  <c r="AC95" i="3"/>
  <c r="AB95" i="3"/>
  <c r="AA95" i="3"/>
  <c r="Z95" i="3"/>
  <c r="AL94" i="3"/>
  <c r="AB94" i="3" s="1"/>
  <c r="AH94" i="3"/>
  <c r="AE94" i="3"/>
  <c r="AD94" i="3"/>
  <c r="AG94" i="3" s="1"/>
  <c r="AI94" i="3" s="1"/>
  <c r="AC94" i="3"/>
  <c r="AA94" i="3"/>
  <c r="Z94" i="3"/>
  <c r="AL93" i="3"/>
  <c r="AB93" i="3" s="1"/>
  <c r="AA93" i="3"/>
  <c r="AE93" i="3" s="1"/>
  <c r="AH93" i="3" s="1"/>
  <c r="Z93" i="3"/>
  <c r="AD93" i="3" s="1"/>
  <c r="AN92" i="3"/>
  <c r="AL92" i="3"/>
  <c r="AM92" i="3" s="1"/>
  <c r="AC92" i="3"/>
  <c r="AB92" i="3"/>
  <c r="AA92" i="3"/>
  <c r="AE92" i="3" s="1"/>
  <c r="AH92" i="3" s="1"/>
  <c r="Z92" i="3"/>
  <c r="AD92" i="3" s="1"/>
  <c r="AL91" i="3"/>
  <c r="AB91" i="3" s="1"/>
  <c r="AD91" i="3"/>
  <c r="AG91" i="3" s="1"/>
  <c r="AA91" i="3"/>
  <c r="AE91" i="3" s="1"/>
  <c r="Z91" i="3"/>
  <c r="AO90" i="3"/>
  <c r="AN90" i="3"/>
  <c r="AL90" i="3"/>
  <c r="AC90" i="3"/>
  <c r="AB90" i="3"/>
  <c r="AA90" i="3"/>
  <c r="AE90" i="3" s="1"/>
  <c r="Z90" i="3"/>
  <c r="AD90" i="3" s="1"/>
  <c r="AL89" i="3"/>
  <c r="AO89" i="3" s="1"/>
  <c r="AH89" i="3"/>
  <c r="AF89" i="3"/>
  <c r="AE89" i="3"/>
  <c r="AM89" i="3" s="1"/>
  <c r="AD89" i="3"/>
  <c r="AG89" i="3" s="1"/>
  <c r="AI89" i="3" s="1"/>
  <c r="AC89" i="3"/>
  <c r="AB89" i="3"/>
  <c r="AA89" i="3"/>
  <c r="Z89" i="3"/>
  <c r="AL88" i="3"/>
  <c r="AB88" i="3" s="1"/>
  <c r="AH88" i="3"/>
  <c r="AE88" i="3"/>
  <c r="AD88" i="3"/>
  <c r="AG88" i="3" s="1"/>
  <c r="AI88" i="3" s="1"/>
  <c r="AC88" i="3"/>
  <c r="AA88" i="3"/>
  <c r="Z88" i="3"/>
  <c r="AL87" i="3"/>
  <c r="AB87" i="3" s="1"/>
  <c r="AA87" i="3"/>
  <c r="AE87" i="3" s="1"/>
  <c r="Z87" i="3"/>
  <c r="AD87" i="3" s="1"/>
  <c r="AN86" i="3"/>
  <c r="AL86" i="3"/>
  <c r="AO86" i="3" s="1"/>
  <c r="AC86" i="3"/>
  <c r="AB86" i="3"/>
  <c r="AA86" i="3"/>
  <c r="AE86" i="3" s="1"/>
  <c r="Z86" i="3"/>
  <c r="AD86" i="3" s="1"/>
  <c r="AL85" i="3"/>
  <c r="AB85" i="3" s="1"/>
  <c r="AD85" i="3"/>
  <c r="AG85" i="3" s="1"/>
  <c r="AA85" i="3"/>
  <c r="AE85" i="3" s="1"/>
  <c r="Z85" i="3"/>
  <c r="AO84" i="3"/>
  <c r="AN84" i="3"/>
  <c r="AL84" i="3"/>
  <c r="AC84" i="3"/>
  <c r="AB84" i="3"/>
  <c r="AA84" i="3"/>
  <c r="AE84" i="3" s="1"/>
  <c r="Z84" i="3"/>
  <c r="AD84" i="3" s="1"/>
  <c r="AL83" i="3"/>
  <c r="AO83" i="3" s="1"/>
  <c r="AH83" i="3"/>
  <c r="AF83" i="3"/>
  <c r="AE83" i="3"/>
  <c r="AM83" i="3" s="1"/>
  <c r="AD83" i="3"/>
  <c r="AG83" i="3" s="1"/>
  <c r="AI83" i="3" s="1"/>
  <c r="AC83" i="3"/>
  <c r="AB83" i="3"/>
  <c r="AA83" i="3"/>
  <c r="Z83" i="3"/>
  <c r="AL82" i="3"/>
  <c r="AB82" i="3" s="1"/>
  <c r="AH82" i="3"/>
  <c r="AE82" i="3"/>
  <c r="AD82" i="3"/>
  <c r="AG82" i="3" s="1"/>
  <c r="AI82" i="3" s="1"/>
  <c r="AA82" i="3"/>
  <c r="AC82" i="3" s="1"/>
  <c r="Z82" i="3"/>
  <c r="AL81" i="3"/>
  <c r="AB81" i="3" s="1"/>
  <c r="AA81" i="3"/>
  <c r="AE81" i="3" s="1"/>
  <c r="Z81" i="3"/>
  <c r="AD81" i="3" s="1"/>
  <c r="AN80" i="3"/>
  <c r="AL80" i="3"/>
  <c r="AM80" i="3" s="1"/>
  <c r="AC80" i="3"/>
  <c r="AB80" i="3"/>
  <c r="AA80" i="3"/>
  <c r="AE80" i="3" s="1"/>
  <c r="AH80" i="3" s="1"/>
  <c r="Z80" i="3"/>
  <c r="AD80" i="3" s="1"/>
  <c r="AL79" i="3"/>
  <c r="AB79" i="3" s="1"/>
  <c r="AD79" i="3"/>
  <c r="AG79" i="3" s="1"/>
  <c r="AA79" i="3"/>
  <c r="AE79" i="3" s="1"/>
  <c r="Z79" i="3"/>
  <c r="AO78" i="3"/>
  <c r="AN78" i="3"/>
  <c r="AL78" i="3"/>
  <c r="AC78" i="3"/>
  <c r="AB78" i="3"/>
  <c r="AA78" i="3"/>
  <c r="AE78" i="3" s="1"/>
  <c r="Z78" i="3"/>
  <c r="AD78" i="3" s="1"/>
  <c r="AL77" i="3"/>
  <c r="AO77" i="3" s="1"/>
  <c r="AH77" i="3"/>
  <c r="AF77" i="3"/>
  <c r="AE77" i="3"/>
  <c r="AM77" i="3" s="1"/>
  <c r="AD77" i="3"/>
  <c r="AG77" i="3" s="1"/>
  <c r="AI77" i="3" s="1"/>
  <c r="AC77" i="3"/>
  <c r="AB77" i="3"/>
  <c r="AA77" i="3"/>
  <c r="Z77" i="3"/>
  <c r="AL76" i="3"/>
  <c r="AB76" i="3" s="1"/>
  <c r="AH76" i="3"/>
  <c r="AE76" i="3"/>
  <c r="AD76" i="3"/>
  <c r="AG76" i="3" s="1"/>
  <c r="AI76" i="3" s="1"/>
  <c r="AC76" i="3"/>
  <c r="AA76" i="3"/>
  <c r="Z76" i="3"/>
  <c r="AL75" i="3"/>
  <c r="AB75" i="3" s="1"/>
  <c r="AA75" i="3"/>
  <c r="AE75" i="3" s="1"/>
  <c r="AH75" i="3" s="1"/>
  <c r="Z75" i="3"/>
  <c r="AD75" i="3" s="1"/>
  <c r="AN74" i="3"/>
  <c r="AL74" i="3"/>
  <c r="AM74" i="3" s="1"/>
  <c r="AC74" i="3"/>
  <c r="AB74" i="3"/>
  <c r="AA74" i="3"/>
  <c r="AE74" i="3" s="1"/>
  <c r="AH74" i="3" s="1"/>
  <c r="Z74" i="3"/>
  <c r="AD74" i="3" s="1"/>
  <c r="AL73" i="3"/>
  <c r="AB73" i="3" s="1"/>
  <c r="AD73" i="3"/>
  <c r="AG73" i="3" s="1"/>
  <c r="AA73" i="3"/>
  <c r="AE73" i="3" s="1"/>
  <c r="Z73" i="3"/>
  <c r="AN72" i="3"/>
  <c r="AL72" i="3"/>
  <c r="AO72" i="3" s="1"/>
  <c r="AC72" i="3"/>
  <c r="AB72" i="3"/>
  <c r="AA72" i="3"/>
  <c r="AE72" i="3" s="1"/>
  <c r="Z72" i="3"/>
  <c r="AD72" i="3" s="1"/>
  <c r="AL71" i="3"/>
  <c r="AO71" i="3" s="1"/>
  <c r="AH71" i="3"/>
  <c r="AF71" i="3"/>
  <c r="AE71" i="3"/>
  <c r="AM71" i="3" s="1"/>
  <c r="AD71" i="3"/>
  <c r="AG71" i="3" s="1"/>
  <c r="AI71" i="3" s="1"/>
  <c r="AC71" i="3"/>
  <c r="AB71" i="3"/>
  <c r="AA71" i="3"/>
  <c r="Z71" i="3"/>
  <c r="AL70" i="3"/>
  <c r="AB70" i="3" s="1"/>
  <c r="AH70" i="3"/>
  <c r="AE70" i="3"/>
  <c r="AM70" i="3" s="1"/>
  <c r="AD70" i="3"/>
  <c r="AG70" i="3" s="1"/>
  <c r="AI70" i="3" s="1"/>
  <c r="AC70" i="3"/>
  <c r="AA70" i="3"/>
  <c r="Z70" i="3"/>
  <c r="AN69" i="3"/>
  <c r="AL69" i="3"/>
  <c r="AB69" i="3" s="1"/>
  <c r="AA69" i="3"/>
  <c r="AE69" i="3" s="1"/>
  <c r="Z69" i="3"/>
  <c r="AD69" i="3" s="1"/>
  <c r="AN68" i="3"/>
  <c r="AL68" i="3"/>
  <c r="AO68" i="3" s="1"/>
  <c r="AB68" i="3"/>
  <c r="AA68" i="3"/>
  <c r="AE68" i="3" s="1"/>
  <c r="Z68" i="3"/>
  <c r="AD68" i="3" s="1"/>
  <c r="AL67" i="3"/>
  <c r="AB67" i="3" s="1"/>
  <c r="AD67" i="3"/>
  <c r="AG67" i="3" s="1"/>
  <c r="AA67" i="3"/>
  <c r="AE67" i="3" s="1"/>
  <c r="Z67" i="3"/>
  <c r="AO66" i="3"/>
  <c r="AN66" i="3"/>
  <c r="AL66" i="3"/>
  <c r="AC66" i="3"/>
  <c r="AB66" i="3"/>
  <c r="AA66" i="3"/>
  <c r="AE66" i="3" s="1"/>
  <c r="Z66" i="3"/>
  <c r="AD66" i="3" s="1"/>
  <c r="AL65" i="3"/>
  <c r="AO65" i="3" s="1"/>
  <c r="AH65" i="3"/>
  <c r="AF65" i="3"/>
  <c r="AE65" i="3"/>
  <c r="AM65" i="3" s="1"/>
  <c r="AD65" i="3"/>
  <c r="AG65" i="3" s="1"/>
  <c r="AI65" i="3" s="1"/>
  <c r="AC65" i="3"/>
  <c r="AB65" i="3"/>
  <c r="AA65" i="3"/>
  <c r="Z65" i="3"/>
  <c r="AL64" i="3"/>
  <c r="AB64" i="3" s="1"/>
  <c r="AH64" i="3"/>
  <c r="AE64" i="3"/>
  <c r="AM64" i="3" s="1"/>
  <c r="AD64" i="3"/>
  <c r="AG64" i="3" s="1"/>
  <c r="AI64" i="3" s="1"/>
  <c r="AC64" i="3"/>
  <c r="AA64" i="3"/>
  <c r="Z64" i="3"/>
  <c r="AN63" i="3"/>
  <c r="AL63" i="3"/>
  <c r="AB63" i="3" s="1"/>
  <c r="AA63" i="3"/>
  <c r="AE63" i="3" s="1"/>
  <c r="Z63" i="3"/>
  <c r="AD63" i="3" s="1"/>
  <c r="AN62" i="3"/>
  <c r="AL62" i="3"/>
  <c r="AO62" i="3" s="1"/>
  <c r="AC62" i="3"/>
  <c r="AB62" i="3"/>
  <c r="AA62" i="3"/>
  <c r="AE62" i="3" s="1"/>
  <c r="Z62" i="3"/>
  <c r="AD62" i="3" s="1"/>
  <c r="AL61" i="3"/>
  <c r="AB61" i="3" s="1"/>
  <c r="AD61" i="3"/>
  <c r="AG61" i="3" s="1"/>
  <c r="AA61" i="3"/>
  <c r="AE61" i="3" s="1"/>
  <c r="Z61" i="3"/>
  <c r="AO60" i="3"/>
  <c r="AN60" i="3"/>
  <c r="AL60" i="3"/>
  <c r="AC60" i="3"/>
  <c r="AB60" i="3"/>
  <c r="AA60" i="3"/>
  <c r="AE60" i="3" s="1"/>
  <c r="Z60" i="3"/>
  <c r="AD60" i="3" s="1"/>
  <c r="AL59" i="3"/>
  <c r="AO59" i="3" s="1"/>
  <c r="AH59" i="3"/>
  <c r="AF59" i="3"/>
  <c r="AE59" i="3"/>
  <c r="AM59" i="3" s="1"/>
  <c r="AD59" i="3"/>
  <c r="AG59" i="3" s="1"/>
  <c r="AI59" i="3" s="1"/>
  <c r="AC59" i="3"/>
  <c r="AB59" i="3"/>
  <c r="AA59" i="3"/>
  <c r="Z59" i="3"/>
  <c r="AL58" i="3"/>
  <c r="AB58" i="3" s="1"/>
  <c r="AH58" i="3"/>
  <c r="AE58" i="3"/>
  <c r="AM58" i="3" s="1"/>
  <c r="AD58" i="3"/>
  <c r="AG58" i="3" s="1"/>
  <c r="AI58" i="3" s="1"/>
  <c r="AC58" i="3"/>
  <c r="AA58" i="3"/>
  <c r="Z58" i="3"/>
  <c r="AN57" i="3"/>
  <c r="AL57" i="3"/>
  <c r="AB57" i="3" s="1"/>
  <c r="AA57" i="3"/>
  <c r="AE57" i="3" s="1"/>
  <c r="Z57" i="3"/>
  <c r="AD57" i="3" s="1"/>
  <c r="AN56" i="3"/>
  <c r="AL56" i="3"/>
  <c r="AO56" i="3" s="1"/>
  <c r="AC56" i="3"/>
  <c r="AB56" i="3"/>
  <c r="AA56" i="3"/>
  <c r="AE56" i="3" s="1"/>
  <c r="Z56" i="3"/>
  <c r="AD56" i="3" s="1"/>
  <c r="AL55" i="3"/>
  <c r="AB55" i="3" s="1"/>
  <c r="AD55" i="3"/>
  <c r="AG55" i="3" s="1"/>
  <c r="AA55" i="3"/>
  <c r="AE55" i="3" s="1"/>
  <c r="Z55" i="3"/>
  <c r="AO54" i="3"/>
  <c r="AN54" i="3"/>
  <c r="AL54" i="3"/>
  <c r="AC54" i="3"/>
  <c r="AB54" i="3"/>
  <c r="AA54" i="3"/>
  <c r="AE54" i="3" s="1"/>
  <c r="Z54" i="3"/>
  <c r="AD54" i="3" s="1"/>
  <c r="AL53" i="3"/>
  <c r="AO53" i="3" s="1"/>
  <c r="AH53" i="3"/>
  <c r="AF53" i="3"/>
  <c r="AE53" i="3"/>
  <c r="AM53" i="3" s="1"/>
  <c r="AD53" i="3"/>
  <c r="AG53" i="3" s="1"/>
  <c r="AI53" i="3" s="1"/>
  <c r="AC53" i="3"/>
  <c r="AB53" i="3"/>
  <c r="AA53" i="3"/>
  <c r="Z53" i="3"/>
  <c r="AL52" i="3"/>
  <c r="AB52" i="3" s="1"/>
  <c r="AH52" i="3"/>
  <c r="AE52" i="3"/>
  <c r="AM52" i="3" s="1"/>
  <c r="AD52" i="3"/>
  <c r="AG52" i="3" s="1"/>
  <c r="AI52" i="3" s="1"/>
  <c r="AC52" i="3"/>
  <c r="AA52" i="3"/>
  <c r="Z52" i="3"/>
  <c r="AN51" i="3"/>
  <c r="AL51" i="3"/>
  <c r="AB51" i="3" s="1"/>
  <c r="AA51" i="3"/>
  <c r="AE51" i="3" s="1"/>
  <c r="Z51" i="3"/>
  <c r="AD51" i="3" s="1"/>
  <c r="AN50" i="3"/>
  <c r="AL50" i="3"/>
  <c r="AO50" i="3" s="1"/>
  <c r="AC50" i="3"/>
  <c r="AB50" i="3"/>
  <c r="AA50" i="3"/>
  <c r="AE50" i="3" s="1"/>
  <c r="Z50" i="3"/>
  <c r="AD50" i="3" s="1"/>
  <c r="AL49" i="3"/>
  <c r="AB49" i="3" s="1"/>
  <c r="AD49" i="3"/>
  <c r="AG49" i="3" s="1"/>
  <c r="AA49" i="3"/>
  <c r="AE49" i="3" s="1"/>
  <c r="Z49" i="3"/>
  <c r="AO48" i="3"/>
  <c r="AN48" i="3"/>
  <c r="AL48" i="3"/>
  <c r="AC48" i="3"/>
  <c r="AB48" i="3"/>
  <c r="AA48" i="3"/>
  <c r="AE48" i="3" s="1"/>
  <c r="Z48" i="3"/>
  <c r="AD48" i="3" s="1"/>
  <c r="AL47" i="3"/>
  <c r="AO47" i="3" s="1"/>
  <c r="AH47" i="3"/>
  <c r="AF47" i="3"/>
  <c r="AE47" i="3"/>
  <c r="AM47" i="3" s="1"/>
  <c r="AD47" i="3"/>
  <c r="AG47" i="3" s="1"/>
  <c r="AI47" i="3" s="1"/>
  <c r="AB47" i="3"/>
  <c r="AA47" i="3"/>
  <c r="AC47" i="3" s="1"/>
  <c r="Z47" i="3"/>
  <c r="AL46" i="3"/>
  <c r="AB46" i="3" s="1"/>
  <c r="AD46" i="3"/>
  <c r="AG46" i="3" s="1"/>
  <c r="AA46" i="3"/>
  <c r="AE46" i="3" s="1"/>
  <c r="Z46" i="3"/>
  <c r="AN45" i="3"/>
  <c r="AL45" i="3"/>
  <c r="AB45" i="3" s="1"/>
  <c r="AA45" i="3"/>
  <c r="AE45" i="3" s="1"/>
  <c r="Z45" i="3"/>
  <c r="AD45" i="3" s="1"/>
  <c r="AN44" i="3"/>
  <c r="AL44" i="3"/>
  <c r="AO44" i="3" s="1"/>
  <c r="AC44" i="3"/>
  <c r="AB44" i="3"/>
  <c r="AA44" i="3"/>
  <c r="AE44" i="3" s="1"/>
  <c r="Z44" i="3"/>
  <c r="AD44" i="3" s="1"/>
  <c r="AL43" i="3"/>
  <c r="AB43" i="3" s="1"/>
  <c r="AD43" i="3"/>
  <c r="AG43" i="3" s="1"/>
  <c r="AA43" i="3"/>
  <c r="AE43" i="3" s="1"/>
  <c r="Z43" i="3"/>
  <c r="AN42" i="3"/>
  <c r="AL42" i="3"/>
  <c r="AO42" i="3" s="1"/>
  <c r="AC42" i="3"/>
  <c r="AB42" i="3"/>
  <c r="AA42" i="3"/>
  <c r="AE42" i="3" s="1"/>
  <c r="Z42" i="3"/>
  <c r="AD42" i="3" s="1"/>
  <c r="AL41" i="3"/>
  <c r="AO41" i="3" s="1"/>
  <c r="AH41" i="3"/>
  <c r="AF41" i="3"/>
  <c r="AE41" i="3"/>
  <c r="AM41" i="3" s="1"/>
  <c r="AD41" i="3"/>
  <c r="AG41" i="3" s="1"/>
  <c r="AI41" i="3" s="1"/>
  <c r="AB41" i="3"/>
  <c r="AA41" i="3"/>
  <c r="AC41" i="3" s="1"/>
  <c r="Z41" i="3"/>
  <c r="AL40" i="3"/>
  <c r="AB40" i="3" s="1"/>
  <c r="AD40" i="3"/>
  <c r="AG40" i="3" s="1"/>
  <c r="AA40" i="3"/>
  <c r="Z40" i="3"/>
  <c r="AN39" i="3"/>
  <c r="AL39" i="3"/>
  <c r="AB39" i="3" s="1"/>
  <c r="AC39" i="3"/>
  <c r="AA39" i="3"/>
  <c r="AE39" i="3" s="1"/>
  <c r="AH39" i="3" s="1"/>
  <c r="Z39" i="3"/>
  <c r="AD39" i="3" s="1"/>
  <c r="AN38" i="3"/>
  <c r="AL38" i="3"/>
  <c r="AO38" i="3" s="1"/>
  <c r="AB38" i="3"/>
  <c r="AA38" i="3"/>
  <c r="Z38" i="3"/>
  <c r="AD38" i="3" s="1"/>
  <c r="AL37" i="3"/>
  <c r="AB37" i="3" s="1"/>
  <c r="AG37" i="3"/>
  <c r="AD37" i="3"/>
  <c r="AC37" i="3"/>
  <c r="AA37" i="3"/>
  <c r="AE37" i="3" s="1"/>
  <c r="Z37" i="3"/>
  <c r="AO36" i="3"/>
  <c r="AN36" i="3"/>
  <c r="AL36" i="3"/>
  <c r="AE36" i="3"/>
  <c r="AC36" i="3"/>
  <c r="AB36" i="3"/>
  <c r="AA36" i="3"/>
  <c r="Z36" i="3"/>
  <c r="AD36" i="3" s="1"/>
  <c r="AM35" i="3"/>
  <c r="AL35" i="3"/>
  <c r="AO35" i="3" s="1"/>
  <c r="AH35" i="3"/>
  <c r="AG35" i="3"/>
  <c r="AI35" i="3" s="1"/>
  <c r="AF35" i="3"/>
  <c r="AE35" i="3"/>
  <c r="AD35" i="3"/>
  <c r="AC35" i="3"/>
  <c r="AB35" i="3"/>
  <c r="AA35" i="3"/>
  <c r="Z35" i="3"/>
  <c r="AO34" i="3"/>
  <c r="AL34" i="3"/>
  <c r="AB34" i="3" s="1"/>
  <c r="AD34" i="3"/>
  <c r="AG34" i="3" s="1"/>
  <c r="AA34" i="3"/>
  <c r="AE34" i="3" s="1"/>
  <c r="Z34" i="3"/>
  <c r="AN33" i="3"/>
  <c r="AL33" i="3"/>
  <c r="AB33" i="3" s="1"/>
  <c r="AC33" i="3"/>
  <c r="AA33" i="3"/>
  <c r="AE33" i="3" s="1"/>
  <c r="Z33" i="3"/>
  <c r="AD33" i="3" s="1"/>
  <c r="AO32" i="3"/>
  <c r="AN32" i="3"/>
  <c r="AL32" i="3"/>
  <c r="AE32" i="3"/>
  <c r="AB32" i="3"/>
  <c r="AA32" i="3"/>
  <c r="AC32" i="3" s="1"/>
  <c r="Z32" i="3"/>
  <c r="AD32" i="3" s="1"/>
  <c r="AL31" i="3"/>
  <c r="AB31" i="3" s="1"/>
  <c r="AG31" i="3"/>
  <c r="AD31" i="3"/>
  <c r="AC31" i="3"/>
  <c r="AA31" i="3"/>
  <c r="AE31" i="3" s="1"/>
  <c r="Z31" i="3"/>
  <c r="AO30" i="3"/>
  <c r="AN30" i="3"/>
  <c r="AL30" i="3"/>
  <c r="AE30" i="3"/>
  <c r="AC30" i="3"/>
  <c r="AB30" i="3"/>
  <c r="AA30" i="3"/>
  <c r="Z30" i="3"/>
  <c r="AD30" i="3" s="1"/>
  <c r="AM29" i="3"/>
  <c r="AL29" i="3"/>
  <c r="AO29" i="3" s="1"/>
  <c r="AH29" i="3"/>
  <c r="AG29" i="3"/>
  <c r="AI29" i="3" s="1"/>
  <c r="AF29" i="3"/>
  <c r="AE29" i="3"/>
  <c r="AD29" i="3"/>
  <c r="AC29" i="3"/>
  <c r="AB29" i="3"/>
  <c r="AA29" i="3"/>
  <c r="Z29" i="3"/>
  <c r="AO28" i="3"/>
  <c r="AL28" i="3"/>
  <c r="AB28" i="3" s="1"/>
  <c r="AD28" i="3"/>
  <c r="AG28" i="3" s="1"/>
  <c r="AA28" i="3"/>
  <c r="AE28" i="3" s="1"/>
  <c r="AH28" i="3" s="1"/>
  <c r="Z28" i="3"/>
  <c r="AN27" i="3"/>
  <c r="AL27" i="3"/>
  <c r="AB27" i="3" s="1"/>
  <c r="AA27" i="3"/>
  <c r="AC27" i="3" s="1"/>
  <c r="Z27" i="3"/>
  <c r="AD27" i="3" s="1"/>
  <c r="AO26" i="3"/>
  <c r="AN26" i="3"/>
  <c r="AL26" i="3"/>
  <c r="AE26" i="3"/>
  <c r="AC26" i="3"/>
  <c r="AB26" i="3"/>
  <c r="AA26" i="3"/>
  <c r="Z26" i="3"/>
  <c r="AD26" i="3" s="1"/>
  <c r="AL25" i="3"/>
  <c r="AB25" i="3" s="1"/>
  <c r="AG25" i="3"/>
  <c r="AE25" i="3"/>
  <c r="AM25" i="3" s="1"/>
  <c r="AD25" i="3"/>
  <c r="AF25" i="3" s="1"/>
  <c r="AC25" i="3"/>
  <c r="AA25" i="3"/>
  <c r="Z25" i="3"/>
  <c r="AL24" i="3"/>
  <c r="AE24" i="3"/>
  <c r="AC24" i="3"/>
  <c r="AA24" i="3"/>
  <c r="Z24" i="3"/>
  <c r="AD24" i="3" s="1"/>
  <c r="AO23" i="3"/>
  <c r="AN23" i="3"/>
  <c r="AL23" i="3"/>
  <c r="AB23" i="3"/>
  <c r="AA23" i="3"/>
  <c r="AE23" i="3" s="1"/>
  <c r="Z23" i="3"/>
  <c r="AD23" i="3" s="1"/>
  <c r="AO22" i="3"/>
  <c r="AL22" i="3"/>
  <c r="AN22" i="3" s="1"/>
  <c r="AD22" i="3"/>
  <c r="AG22" i="3" s="1"/>
  <c r="AB22" i="3"/>
  <c r="AA22" i="3"/>
  <c r="AE22" i="3" s="1"/>
  <c r="Z22" i="3"/>
  <c r="AO21" i="3"/>
  <c r="AN21" i="3"/>
  <c r="AL21" i="3"/>
  <c r="AB21" i="3" s="1"/>
  <c r="AD21" i="3"/>
  <c r="AG21" i="3" s="1"/>
  <c r="AA21" i="3"/>
  <c r="AC21" i="3" s="1"/>
  <c r="Z21" i="3"/>
  <c r="AO20" i="3"/>
  <c r="AN20" i="3"/>
  <c r="AL20" i="3"/>
  <c r="AE20" i="3"/>
  <c r="AD20" i="3"/>
  <c r="AC20" i="3"/>
  <c r="AB20" i="3"/>
  <c r="AA20" i="3"/>
  <c r="Z20" i="3"/>
  <c r="AL19" i="3"/>
  <c r="AB19" i="3" s="1"/>
  <c r="AG19" i="3"/>
  <c r="AE19" i="3"/>
  <c r="AF19" i="3" s="1"/>
  <c r="AD19" i="3"/>
  <c r="AC19" i="3"/>
  <c r="AA19" i="3"/>
  <c r="Z19" i="3"/>
  <c r="AL18" i="3"/>
  <c r="AB18" i="3" s="1"/>
  <c r="AH18" i="3"/>
  <c r="AE18" i="3"/>
  <c r="AM18" i="3" s="1"/>
  <c r="AC18" i="3"/>
  <c r="AA18" i="3"/>
  <c r="Z18" i="3"/>
  <c r="AD18" i="3" s="1"/>
  <c r="AL17" i="3"/>
  <c r="AB17" i="3" s="1"/>
  <c r="AA17" i="3"/>
  <c r="AE17" i="3" s="1"/>
  <c r="Z17" i="3"/>
  <c r="AD17" i="3" s="1"/>
  <c r="AO16" i="3"/>
  <c r="AN16" i="3"/>
  <c r="AL16" i="3"/>
  <c r="AB16" i="3"/>
  <c r="AA16" i="3"/>
  <c r="AE16" i="3" s="1"/>
  <c r="Z16" i="3"/>
  <c r="AD16" i="3" s="1"/>
  <c r="AO15" i="3"/>
  <c r="AN15" i="3"/>
  <c r="AL15" i="3"/>
  <c r="AD15" i="3"/>
  <c r="AG15" i="3" s="1"/>
  <c r="AB15" i="3"/>
  <c r="AA15" i="3"/>
  <c r="AC15" i="3" s="1"/>
  <c r="Z15" i="3"/>
  <c r="AO14" i="3"/>
  <c r="AN14" i="3"/>
  <c r="AL14" i="3"/>
  <c r="AE14" i="3"/>
  <c r="AM14" i="3" s="1"/>
  <c r="AD14" i="3"/>
  <c r="AG14" i="3" s="1"/>
  <c r="AC14" i="3"/>
  <c r="AB14" i="3"/>
  <c r="AA14" i="3"/>
  <c r="Z14" i="3"/>
  <c r="AL13" i="3"/>
  <c r="AB13" i="3" s="1"/>
  <c r="AG13" i="3"/>
  <c r="AE13" i="3"/>
  <c r="AF13" i="3" s="1"/>
  <c r="AD13" i="3"/>
  <c r="AC13" i="3"/>
  <c r="AA13" i="3"/>
  <c r="Z13" i="3"/>
  <c r="AL12" i="3"/>
  <c r="AB12" i="3" s="1"/>
  <c r="AH12" i="3"/>
  <c r="AE12" i="3"/>
  <c r="AC12" i="3"/>
  <c r="AA12" i="3"/>
  <c r="Z12" i="3"/>
  <c r="AD12" i="3" s="1"/>
  <c r="AL11" i="3"/>
  <c r="AB11" i="3" s="1"/>
  <c r="AA11" i="3"/>
  <c r="AE11" i="3" s="1"/>
  <c r="Z11" i="3"/>
  <c r="AD11" i="3" s="1"/>
  <c r="AO10" i="3"/>
  <c r="AN10" i="3"/>
  <c r="AM10" i="3"/>
  <c r="AL10" i="3"/>
  <c r="AB10" i="3"/>
  <c r="AA10" i="3"/>
  <c r="AE10" i="3" s="1"/>
  <c r="AH10" i="3" s="1"/>
  <c r="Z10" i="3"/>
  <c r="AD10" i="3" s="1"/>
  <c r="AO9" i="3"/>
  <c r="AN9" i="3"/>
  <c r="AL9" i="3"/>
  <c r="AD9" i="3"/>
  <c r="AB9" i="3"/>
  <c r="AA9" i="3"/>
  <c r="AC9" i="3" s="1"/>
  <c r="Z9" i="3"/>
  <c r="AO8" i="3"/>
  <c r="AN8" i="3"/>
  <c r="AL8" i="3"/>
  <c r="AE8" i="3"/>
  <c r="AM8" i="3" s="1"/>
  <c r="AD8" i="3"/>
  <c r="AG8" i="3" s="1"/>
  <c r="AC8" i="3"/>
  <c r="AB8" i="3"/>
  <c r="AA8" i="3"/>
  <c r="Z8" i="3"/>
  <c r="AL7" i="3"/>
  <c r="AB7" i="3" s="1"/>
  <c r="AG7" i="3"/>
  <c r="AE7" i="3"/>
  <c r="AM7" i="3" s="1"/>
  <c r="AD7" i="3"/>
  <c r="AC7" i="3"/>
  <c r="AA7" i="3"/>
  <c r="Z7" i="3"/>
  <c r="AL6" i="3"/>
  <c r="AB6" i="3" s="1"/>
  <c r="AH6" i="3"/>
  <c r="AE6" i="3"/>
  <c r="AC6" i="3"/>
  <c r="AA6" i="3"/>
  <c r="Z6" i="3"/>
  <c r="AD6" i="3" s="1"/>
  <c r="AL5" i="3"/>
  <c r="AB5" i="3" s="1"/>
  <c r="AA5" i="3"/>
  <c r="AE5" i="3" s="1"/>
  <c r="AH5" i="3" s="1"/>
  <c r="Z5" i="3"/>
  <c r="AD5" i="3" s="1"/>
  <c r="AO4" i="3"/>
  <c r="AN4" i="3"/>
  <c r="AL4" i="3"/>
  <c r="AB4" i="3"/>
  <c r="AA4" i="3"/>
  <c r="AE4" i="3" s="1"/>
  <c r="Z4" i="3"/>
  <c r="AD4" i="3" s="1"/>
  <c r="AO3" i="3"/>
  <c r="AN3" i="3"/>
  <c r="AL3" i="3"/>
  <c r="AG3" i="3"/>
  <c r="AD3" i="3"/>
  <c r="AB3" i="3"/>
  <c r="AA3" i="3"/>
  <c r="AC3" i="3" s="1"/>
  <c r="Z3" i="3"/>
  <c r="AO2" i="3"/>
  <c r="AN2" i="3"/>
  <c r="AM2" i="3"/>
  <c r="AL2" i="3"/>
  <c r="AE2" i="3"/>
  <c r="AD2" i="3"/>
  <c r="AC2" i="3"/>
  <c r="AB2" i="3"/>
  <c r="AA2" i="3"/>
  <c r="AA122" i="3" s="1"/>
  <c r="Z2" i="3"/>
  <c r="Z122" i="3" s="1"/>
  <c r="C122" i="2"/>
  <c r="C121" i="2"/>
  <c r="C120" i="2"/>
  <c r="C119" i="2"/>
  <c r="C118" i="2"/>
  <c r="C117" i="2"/>
  <c r="C122" i="1"/>
  <c r="C121" i="1"/>
  <c r="C120" i="1"/>
  <c r="C119" i="1"/>
  <c r="C118" i="1"/>
  <c r="C117" i="1"/>
  <c r="S12" i="1"/>
  <c r="Q12" i="1"/>
  <c r="AG16" i="3" l="1"/>
  <c r="AF16" i="3"/>
  <c r="AG36" i="3"/>
  <c r="AF36" i="3"/>
  <c r="AG42" i="3"/>
  <c r="AF42" i="3"/>
  <c r="AM66" i="3"/>
  <c r="AH66" i="3"/>
  <c r="AM72" i="3"/>
  <c r="AH72" i="3"/>
  <c r="AF5" i="3"/>
  <c r="AG5" i="3"/>
  <c r="AI5" i="3" s="1"/>
  <c r="AE40" i="3"/>
  <c r="AC40" i="3"/>
  <c r="AH51" i="3"/>
  <c r="AM51" i="3"/>
  <c r="AG93" i="3"/>
  <c r="AI93" i="3" s="1"/>
  <c r="AF93" i="3"/>
  <c r="AE38" i="3"/>
  <c r="AC38" i="3"/>
  <c r="AG63" i="3"/>
  <c r="AI63" i="3" s="1"/>
  <c r="AF63" i="3"/>
  <c r="AG6" i="3"/>
  <c r="AI6" i="3" s="1"/>
  <c r="AF6" i="3"/>
  <c r="AH63" i="3"/>
  <c r="AM63" i="3"/>
  <c r="AH69" i="3"/>
  <c r="AM69" i="3"/>
  <c r="AH81" i="3"/>
  <c r="AM81" i="3"/>
  <c r="AG20" i="3"/>
  <c r="AF20" i="3"/>
  <c r="AH87" i="3"/>
  <c r="AM87" i="3"/>
  <c r="AM49" i="3"/>
  <c r="AH49" i="3"/>
  <c r="AI49" i="3" s="1"/>
  <c r="AH45" i="3"/>
  <c r="AM45" i="3"/>
  <c r="AM55" i="3"/>
  <c r="AH55" i="3"/>
  <c r="AI55" i="3" s="1"/>
  <c r="AM85" i="3"/>
  <c r="AH85" i="3"/>
  <c r="AM91" i="3"/>
  <c r="AH91" i="3"/>
  <c r="AI91" i="3" s="1"/>
  <c r="AM97" i="3"/>
  <c r="AH97" i="3"/>
  <c r="AI97" i="3" s="1"/>
  <c r="AM103" i="3"/>
  <c r="AH103" i="3"/>
  <c r="AI103" i="3" s="1"/>
  <c r="AM109" i="3"/>
  <c r="AH109" i="3"/>
  <c r="AM115" i="3"/>
  <c r="AH115" i="3"/>
  <c r="AI115" i="3" s="1"/>
  <c r="AG87" i="3"/>
  <c r="AF87" i="3"/>
  <c r="AG99" i="3"/>
  <c r="AI99" i="3" s="1"/>
  <c r="AF99" i="3"/>
  <c r="AM20" i="3"/>
  <c r="AM31" i="3"/>
  <c r="AH31" i="3"/>
  <c r="AH99" i="3"/>
  <c r="AM99" i="3"/>
  <c r="AM36" i="3"/>
  <c r="AH11" i="3"/>
  <c r="AM11" i="3"/>
  <c r="AM26" i="3"/>
  <c r="AL116" i="3"/>
  <c r="AI13" i="3"/>
  <c r="AF17" i="3"/>
  <c r="AG17" i="3"/>
  <c r="AG30" i="3"/>
  <c r="AF30" i="3"/>
  <c r="AI31" i="3"/>
  <c r="AM61" i="3"/>
  <c r="AH61" i="3"/>
  <c r="AM73" i="3"/>
  <c r="AH73" i="3"/>
  <c r="AI73" i="3" s="1"/>
  <c r="AM79" i="3"/>
  <c r="AH79" i="3"/>
  <c r="AI79" i="3" s="1"/>
  <c r="AI85" i="3"/>
  <c r="AI109" i="3"/>
  <c r="AH16" i="3"/>
  <c r="AM16" i="3"/>
  <c r="AH22" i="3"/>
  <c r="AI22" i="3" s="1"/>
  <c r="AM22" i="3"/>
  <c r="AG38" i="3"/>
  <c r="AF38" i="3"/>
  <c r="AG57" i="3"/>
  <c r="AF57" i="3"/>
  <c r="AG105" i="3"/>
  <c r="AI105" i="3" s="1"/>
  <c r="AF105" i="3"/>
  <c r="AG33" i="3"/>
  <c r="AF33" i="3"/>
  <c r="AG69" i="3"/>
  <c r="AI69" i="3" s="1"/>
  <c r="AF69" i="3"/>
  <c r="AG45" i="3"/>
  <c r="AI45" i="3" s="1"/>
  <c r="AF45" i="3"/>
  <c r="AH17" i="3"/>
  <c r="AM17" i="3"/>
  <c r="AG39" i="3"/>
  <c r="AI39" i="3" s="1"/>
  <c r="AF39" i="3"/>
  <c r="AM67" i="3"/>
  <c r="AH67" i="3"/>
  <c r="AG26" i="3"/>
  <c r="AF26" i="3"/>
  <c r="AG51" i="3"/>
  <c r="AI51" i="3" s="1"/>
  <c r="AF51" i="3"/>
  <c r="AG75" i="3"/>
  <c r="AI75" i="3" s="1"/>
  <c r="AF75" i="3"/>
  <c r="AM24" i="3"/>
  <c r="AG48" i="3"/>
  <c r="AF48" i="3"/>
  <c r="AG56" i="3"/>
  <c r="AI56" i="3" s="1"/>
  <c r="AF56" i="3"/>
  <c r="AI67" i="3"/>
  <c r="AG86" i="3"/>
  <c r="AI86" i="3" s="1"/>
  <c r="AF86" i="3"/>
  <c r="AG92" i="3"/>
  <c r="AI92" i="3" s="1"/>
  <c r="AF92" i="3"/>
  <c r="AG98" i="3"/>
  <c r="AI98" i="3" s="1"/>
  <c r="AF98" i="3"/>
  <c r="AG104" i="3"/>
  <c r="AF104" i="3"/>
  <c r="AG110" i="3"/>
  <c r="AI110" i="3" s="1"/>
  <c r="AF110" i="3"/>
  <c r="AG114" i="3"/>
  <c r="AI114" i="3" s="1"/>
  <c r="AF114" i="3"/>
  <c r="AI14" i="3"/>
  <c r="AG24" i="3"/>
  <c r="AI24" i="3" s="1"/>
  <c r="AF24" i="3"/>
  <c r="AG111" i="3"/>
  <c r="AF111" i="3"/>
  <c r="AH105" i="3"/>
  <c r="AM105" i="3"/>
  <c r="AD120" i="3"/>
  <c r="AF11" i="3"/>
  <c r="AG11" i="3"/>
  <c r="AI11" i="3" s="1"/>
  <c r="AH33" i="3"/>
  <c r="AM33" i="3"/>
  <c r="AB24" i="3"/>
  <c r="AB120" i="3" s="1"/>
  <c r="AO24" i="3"/>
  <c r="AO120" i="3" s="1"/>
  <c r="AN24" i="3"/>
  <c r="AG4" i="3"/>
  <c r="AF4" i="3"/>
  <c r="AM43" i="3"/>
  <c r="AH43" i="3"/>
  <c r="AI61" i="3"/>
  <c r="AH4" i="3"/>
  <c r="AM4" i="3"/>
  <c r="AG10" i="3"/>
  <c r="AI10" i="3" s="1"/>
  <c r="AF10" i="3"/>
  <c r="AG27" i="3"/>
  <c r="AH34" i="3"/>
  <c r="AM34" i="3"/>
  <c r="AM37" i="3"/>
  <c r="AH37" i="3"/>
  <c r="AI37" i="3" s="1"/>
  <c r="AH46" i="3"/>
  <c r="AI46" i="3" s="1"/>
  <c r="AM46" i="3"/>
  <c r="AM48" i="3"/>
  <c r="AH48" i="3"/>
  <c r="AG54" i="3"/>
  <c r="AI54" i="3" s="1"/>
  <c r="AF54" i="3"/>
  <c r="AM56" i="3"/>
  <c r="AH56" i="3"/>
  <c r="AG62" i="3"/>
  <c r="AF62" i="3"/>
  <c r="AG74" i="3"/>
  <c r="AI74" i="3" s="1"/>
  <c r="AF74" i="3"/>
  <c r="AG80" i="3"/>
  <c r="AI80" i="3" s="1"/>
  <c r="AF80" i="3"/>
  <c r="AG84" i="3"/>
  <c r="AI84" i="3" s="1"/>
  <c r="AF84" i="3"/>
  <c r="AM86" i="3"/>
  <c r="AH86" i="3"/>
  <c r="AG90" i="3"/>
  <c r="AF90" i="3"/>
  <c r="AG96" i="3"/>
  <c r="AF96" i="3"/>
  <c r="AG102" i="3"/>
  <c r="AF102" i="3"/>
  <c r="AM104" i="3"/>
  <c r="AH104" i="3"/>
  <c r="AG108" i="3"/>
  <c r="AI108" i="3" s="1"/>
  <c r="AF108" i="3"/>
  <c r="AB122" i="3"/>
  <c r="AH57" i="3"/>
  <c r="AM57" i="3"/>
  <c r="AG81" i="3"/>
  <c r="AF81" i="3"/>
  <c r="AI28" i="3"/>
  <c r="AF31" i="3"/>
  <c r="AM6" i="3"/>
  <c r="AG12" i="3"/>
  <c r="AI12" i="3" s="1"/>
  <c r="AF12" i="3"/>
  <c r="AF23" i="3"/>
  <c r="AG23" i="3"/>
  <c r="AI23" i="3" s="1"/>
  <c r="AM12" i="3"/>
  <c r="AM30" i="3"/>
  <c r="AI34" i="3"/>
  <c r="AG44" i="3"/>
  <c r="AI44" i="3" s="1"/>
  <c r="AF44" i="3"/>
  <c r="AM54" i="3"/>
  <c r="AH54" i="3"/>
  <c r="AG60" i="3"/>
  <c r="AI60" i="3" s="1"/>
  <c r="AF60" i="3"/>
  <c r="AM62" i="3"/>
  <c r="AH62" i="3"/>
  <c r="AG68" i="3"/>
  <c r="AF68" i="3"/>
  <c r="AG78" i="3"/>
  <c r="AI78" i="3" s="1"/>
  <c r="AF78" i="3"/>
  <c r="AM84" i="3"/>
  <c r="AH84" i="3"/>
  <c r="AM90" i="3"/>
  <c r="AH90" i="3"/>
  <c r="AM96" i="3"/>
  <c r="AH96" i="3"/>
  <c r="AM102" i="3"/>
  <c r="AH102" i="3"/>
  <c r="AM108" i="3"/>
  <c r="AH108" i="3"/>
  <c r="AM42" i="3"/>
  <c r="AH42" i="3"/>
  <c r="AH111" i="3"/>
  <c r="AM111" i="3"/>
  <c r="AG50" i="3"/>
  <c r="AI50" i="3" s="1"/>
  <c r="AF50" i="3"/>
  <c r="AM23" i="3"/>
  <c r="AH23" i="3"/>
  <c r="AG32" i="3"/>
  <c r="AF32" i="3"/>
  <c r="AI43" i="3"/>
  <c r="AM50" i="3"/>
  <c r="AH50" i="3"/>
  <c r="AG18" i="3"/>
  <c r="AI18" i="3" s="1"/>
  <c r="AF18" i="3"/>
  <c r="AI25" i="3"/>
  <c r="AE27" i="3"/>
  <c r="AM32" i="3"/>
  <c r="AF37" i="3"/>
  <c r="AM44" i="3"/>
  <c r="AH44" i="3"/>
  <c r="AM60" i="3"/>
  <c r="AH60" i="3"/>
  <c r="AG66" i="3"/>
  <c r="AF66" i="3"/>
  <c r="AM68" i="3"/>
  <c r="AH68" i="3"/>
  <c r="AG72" i="3"/>
  <c r="AI72" i="3" s="1"/>
  <c r="AF72" i="3"/>
  <c r="AM78" i="3"/>
  <c r="AH78" i="3"/>
  <c r="AM39" i="3"/>
  <c r="AC43" i="3"/>
  <c r="AC49" i="3"/>
  <c r="AC55" i="3"/>
  <c r="AC61" i="3"/>
  <c r="AC67" i="3"/>
  <c r="AC73" i="3"/>
  <c r="AO74" i="3"/>
  <c r="AM75" i="3"/>
  <c r="AC79" i="3"/>
  <c r="AO80" i="3"/>
  <c r="AC85" i="3"/>
  <c r="AC91" i="3"/>
  <c r="AO92" i="3"/>
  <c r="AM93" i="3"/>
  <c r="AC97" i="3"/>
  <c r="AO98" i="3"/>
  <c r="AC103" i="3"/>
  <c r="AC109" i="3"/>
  <c r="AO110" i="3"/>
  <c r="AC115" i="3"/>
  <c r="Z118" i="3"/>
  <c r="AL118" i="3"/>
  <c r="AD119" i="3"/>
  <c r="Z121" i="3"/>
  <c r="AL121" i="3"/>
  <c r="AD122" i="3"/>
  <c r="AM5" i="3"/>
  <c r="AN75" i="3"/>
  <c r="AN81" i="3"/>
  <c r="AN87" i="3"/>
  <c r="AN93" i="3"/>
  <c r="AN99" i="3"/>
  <c r="AN105" i="3"/>
  <c r="AN111" i="3"/>
  <c r="Z116" i="3"/>
  <c r="AA118" i="3"/>
  <c r="AA121" i="3"/>
  <c r="AO27" i="3"/>
  <c r="AM28" i="3"/>
  <c r="AO33" i="3"/>
  <c r="AO39" i="3"/>
  <c r="AO45" i="3"/>
  <c r="AO51" i="3"/>
  <c r="AO57" i="3"/>
  <c r="AO63" i="3"/>
  <c r="AC68" i="3"/>
  <c r="AO69" i="3"/>
  <c r="AO75" i="3"/>
  <c r="AM76" i="3"/>
  <c r="AO81" i="3"/>
  <c r="AM82" i="3"/>
  <c r="AO87" i="3"/>
  <c r="AM88" i="3"/>
  <c r="AO93" i="3"/>
  <c r="AM94" i="3"/>
  <c r="AO99" i="3"/>
  <c r="AM100" i="3"/>
  <c r="AO105" i="3"/>
  <c r="AM106" i="3"/>
  <c r="AO111" i="3"/>
  <c r="AM112" i="3"/>
  <c r="AA116" i="3"/>
  <c r="AC116" i="3" s="1"/>
  <c r="AB121" i="3"/>
  <c r="AH24" i="3"/>
  <c r="AN28" i="3"/>
  <c r="AH30" i="3"/>
  <c r="AN34" i="3"/>
  <c r="AH36" i="3"/>
  <c r="AN40" i="3"/>
  <c r="AF43" i="3"/>
  <c r="AN46" i="3"/>
  <c r="AF49" i="3"/>
  <c r="AN52" i="3"/>
  <c r="AF55" i="3"/>
  <c r="AN58" i="3"/>
  <c r="AF61" i="3"/>
  <c r="AN64" i="3"/>
  <c r="AF67" i="3"/>
  <c r="AN70" i="3"/>
  <c r="AF73" i="3"/>
  <c r="AN76" i="3"/>
  <c r="AF79" i="3"/>
  <c r="AN82" i="3"/>
  <c r="AF85" i="3"/>
  <c r="AN88" i="3"/>
  <c r="AF91" i="3"/>
  <c r="AN94" i="3"/>
  <c r="AF97" i="3"/>
  <c r="AN100" i="3"/>
  <c r="AF103" i="3"/>
  <c r="AN106" i="3"/>
  <c r="AF109" i="3"/>
  <c r="AN112" i="3"/>
  <c r="AF115" i="3"/>
  <c r="AO40" i="3"/>
  <c r="AC45" i="3"/>
  <c r="AO46" i="3"/>
  <c r="AC51" i="3"/>
  <c r="AO52" i="3"/>
  <c r="AC57" i="3"/>
  <c r="AO58" i="3"/>
  <c r="AC63" i="3"/>
  <c r="AO64" i="3"/>
  <c r="AC69" i="3"/>
  <c r="AO70" i="3"/>
  <c r="AC75" i="3"/>
  <c r="AO76" i="3"/>
  <c r="AC81" i="3"/>
  <c r="AO82" i="3"/>
  <c r="AC87" i="3"/>
  <c r="AO88" i="3"/>
  <c r="AC93" i="3"/>
  <c r="AO94" i="3"/>
  <c r="AC99" i="3"/>
  <c r="AO100" i="3"/>
  <c r="AC105" i="3"/>
  <c r="AO106" i="3"/>
  <c r="AC111" i="3"/>
  <c r="AO112" i="3"/>
  <c r="Z117" i="3"/>
  <c r="AL117" i="3"/>
  <c r="AD118" i="3"/>
  <c r="Z120" i="3"/>
  <c r="AL120" i="3"/>
  <c r="AD121" i="3"/>
  <c r="AH25" i="3"/>
  <c r="AN29" i="3"/>
  <c r="AN35" i="3"/>
  <c r="AN41" i="3"/>
  <c r="AN47" i="3"/>
  <c r="AN53" i="3"/>
  <c r="AN59" i="3"/>
  <c r="AN65" i="3"/>
  <c r="AN71" i="3"/>
  <c r="AN77" i="3"/>
  <c r="AN83" i="3"/>
  <c r="AN89" i="3"/>
  <c r="AN95" i="3"/>
  <c r="AN101" i="3"/>
  <c r="AN107" i="3"/>
  <c r="AN113" i="3"/>
  <c r="AD116" i="3"/>
  <c r="AA117" i="3"/>
  <c r="AA120" i="3"/>
  <c r="AC28" i="3"/>
  <c r="AC34" i="3"/>
  <c r="AC46" i="3"/>
  <c r="AB117" i="3"/>
  <c r="AF7" i="3"/>
  <c r="AF2" i="3"/>
  <c r="AN5" i="3"/>
  <c r="AN120" i="3" s="1"/>
  <c r="AH7" i="3"/>
  <c r="AI7" i="3" s="1"/>
  <c r="AF8" i="3"/>
  <c r="AN11" i="3"/>
  <c r="AH13" i="3"/>
  <c r="AF14" i="3"/>
  <c r="AN17" i="3"/>
  <c r="AN118" i="3" s="1"/>
  <c r="AH19" i="3"/>
  <c r="AI19" i="3" s="1"/>
  <c r="AG2" i="3"/>
  <c r="AE3" i="3"/>
  <c r="AE120" i="3" s="1"/>
  <c r="AC4" i="3"/>
  <c r="AC117" i="3" s="1"/>
  <c r="AO5" i="3"/>
  <c r="AO119" i="3" s="1"/>
  <c r="AE9" i="3"/>
  <c r="AF9" i="3" s="1"/>
  <c r="AC10" i="3"/>
  <c r="AO11" i="3"/>
  <c r="AE15" i="3"/>
  <c r="AC16" i="3"/>
  <c r="AO17" i="3"/>
  <c r="AE21" i="3"/>
  <c r="AC22" i="3"/>
  <c r="AH2" i="3"/>
  <c r="AN12" i="3"/>
  <c r="AF15" i="3"/>
  <c r="AH26" i="3"/>
  <c r="AH32" i="3"/>
  <c r="AC5" i="3"/>
  <c r="AC119" i="3" s="1"/>
  <c r="AO6" i="3"/>
  <c r="AG9" i="3"/>
  <c r="AC11" i="3"/>
  <c r="AO12" i="3"/>
  <c r="AM13" i="3"/>
  <c r="AC17" i="3"/>
  <c r="AO18" i="3"/>
  <c r="AM19" i="3"/>
  <c r="AC23" i="3"/>
  <c r="AD117" i="3"/>
  <c r="Z119" i="3"/>
  <c r="AL119" i="3"/>
  <c r="AL122" i="3"/>
  <c r="AN6" i="3"/>
  <c r="AH8" i="3"/>
  <c r="AI8" i="3" s="1"/>
  <c r="AH14" i="3"/>
  <c r="AN18" i="3"/>
  <c r="AH20" i="3"/>
  <c r="AN7" i="3"/>
  <c r="AN13" i="3"/>
  <c r="AN19" i="3"/>
  <c r="AF22" i="3"/>
  <c r="AN25" i="3"/>
  <c r="AF28" i="3"/>
  <c r="AN31" i="3"/>
  <c r="AF34" i="3"/>
  <c r="AN37" i="3"/>
  <c r="AF40" i="3"/>
  <c r="AN43" i="3"/>
  <c r="AF46" i="3"/>
  <c r="AN49" i="3"/>
  <c r="AF52" i="3"/>
  <c r="AN55" i="3"/>
  <c r="AF58" i="3"/>
  <c r="AN61" i="3"/>
  <c r="AF64" i="3"/>
  <c r="AN67" i="3"/>
  <c r="AF70" i="3"/>
  <c r="AN73" i="3"/>
  <c r="AF76" i="3"/>
  <c r="AN79" i="3"/>
  <c r="AF82" i="3"/>
  <c r="AN85" i="3"/>
  <c r="AF88" i="3"/>
  <c r="AN91" i="3"/>
  <c r="AF94" i="3"/>
  <c r="AN97" i="3"/>
  <c r="AF100" i="3"/>
  <c r="AN103" i="3"/>
  <c r="AF106" i="3"/>
  <c r="AN109" i="3"/>
  <c r="AF112" i="3"/>
  <c r="AN115" i="3"/>
  <c r="AA119" i="3"/>
  <c r="AO7" i="3"/>
  <c r="AO13" i="3"/>
  <c r="AO19" i="3"/>
  <c r="AO25" i="3"/>
  <c r="AO122" i="3" s="1"/>
  <c r="AO31" i="3"/>
  <c r="AO37" i="3"/>
  <c r="AO43" i="3"/>
  <c r="AO49" i="3"/>
  <c r="AO55" i="3"/>
  <c r="AO61" i="3"/>
  <c r="AO67" i="3"/>
  <c r="AO73" i="3"/>
  <c r="AO79" i="3"/>
  <c r="AO85" i="3"/>
  <c r="AO91" i="3"/>
  <c r="AO97" i="3"/>
  <c r="AO103" i="3"/>
  <c r="AO109" i="3"/>
  <c r="AO115" i="3"/>
  <c r="AN117" i="3" l="1"/>
  <c r="AO121" i="3"/>
  <c r="AN121" i="3"/>
  <c r="AI57" i="3"/>
  <c r="AC122" i="3"/>
  <c r="AN122" i="3"/>
  <c r="AB118" i="3"/>
  <c r="AI20" i="3"/>
  <c r="AM38" i="3"/>
  <c r="AH38" i="3"/>
  <c r="AH122" i="3" s="1"/>
  <c r="AO117" i="3"/>
  <c r="AH15" i="3"/>
  <c r="AI15" i="3" s="1"/>
  <c r="AM15" i="3"/>
  <c r="AB116" i="3"/>
  <c r="AI87" i="3"/>
  <c r="AH21" i="3"/>
  <c r="AI21" i="3" s="1"/>
  <c r="AM21" i="3"/>
  <c r="AO118" i="3"/>
  <c r="AE122" i="3"/>
  <c r="AI26" i="3"/>
  <c r="AI42" i="3"/>
  <c r="AC118" i="3"/>
  <c r="AE121" i="3"/>
  <c r="AI66" i="3"/>
  <c r="AF3" i="3"/>
  <c r="AI102" i="3"/>
  <c r="AI48" i="3"/>
  <c r="AI33" i="3"/>
  <c r="AH9" i="3"/>
  <c r="AH121" i="3" s="1"/>
  <c r="AM9" i="3"/>
  <c r="AF21" i="3"/>
  <c r="AF122" i="3" s="1"/>
  <c r="AF121" i="3"/>
  <c r="AF118" i="3"/>
  <c r="AE119" i="3"/>
  <c r="AI104" i="3"/>
  <c r="AI36" i="3"/>
  <c r="AH27" i="3"/>
  <c r="AM27" i="3"/>
  <c r="AE117" i="3"/>
  <c r="AB119" i="3"/>
  <c r="AE118" i="3"/>
  <c r="AI32" i="3"/>
  <c r="AI96" i="3"/>
  <c r="AI62" i="3"/>
  <c r="AH40" i="3"/>
  <c r="AI40" i="3" s="1"/>
  <c r="AM40" i="3"/>
  <c r="AC121" i="3"/>
  <c r="AE116" i="3"/>
  <c r="AM116" i="3" s="1"/>
  <c r="AI81" i="3"/>
  <c r="AF27" i="3"/>
  <c r="AI4" i="3"/>
  <c r="AI30" i="3"/>
  <c r="AI16" i="3"/>
  <c r="AC120" i="3"/>
  <c r="AN119" i="3"/>
  <c r="AH3" i="3"/>
  <c r="AI3" i="3" s="1"/>
  <c r="AM3" i="3"/>
  <c r="AH120" i="3"/>
  <c r="AG120" i="3"/>
  <c r="AG117" i="3"/>
  <c r="AI2" i="3"/>
  <c r="AG121" i="3"/>
  <c r="AG118" i="3"/>
  <c r="AG122" i="3"/>
  <c r="AG119" i="3"/>
  <c r="AI68" i="3"/>
  <c r="AI90" i="3"/>
  <c r="AI27" i="3"/>
  <c r="AI111" i="3"/>
  <c r="AI17" i="3"/>
  <c r="AH117" i="3" l="1"/>
  <c r="AF117" i="3"/>
  <c r="AF120" i="3"/>
  <c r="AH118" i="3"/>
  <c r="AI9" i="3"/>
  <c r="AI121" i="3" s="1"/>
  <c r="AM117" i="3"/>
  <c r="AM120" i="3"/>
  <c r="AM118" i="3"/>
  <c r="AM121" i="3"/>
  <c r="AM119" i="3"/>
  <c r="AM122" i="3"/>
  <c r="AF119" i="3"/>
  <c r="AF116" i="3"/>
  <c r="AH119" i="3"/>
  <c r="AI38" i="3"/>
  <c r="AI118" i="3"/>
  <c r="AI122" i="3"/>
  <c r="AI119" i="3"/>
  <c r="AI120" i="3"/>
  <c r="AI117" i="3"/>
</calcChain>
</file>

<file path=xl/sharedStrings.xml><?xml version="1.0" encoding="utf-8"?>
<sst xmlns="http://schemas.openxmlformats.org/spreadsheetml/2006/main" count="2151" uniqueCount="415">
  <si>
    <t>Country</t>
  </si>
  <si>
    <t>SI.POV.GINI</t>
  </si>
  <si>
    <t>Number of volunteer hours per inhabitant</t>
  </si>
  <si>
    <t>region</t>
  </si>
  <si>
    <t>capital</t>
  </si>
  <si>
    <t>longitude</t>
  </si>
  <si>
    <t>latitude</t>
  </si>
  <si>
    <t>income</t>
  </si>
  <si>
    <t>lending</t>
  </si>
  <si>
    <t>Niger</t>
  </si>
  <si>
    <t>Sub-Saharan Africa</t>
  </si>
  <si>
    <t>Niamey</t>
  </si>
  <si>
    <t>Low income</t>
  </si>
  <si>
    <t>IDA</t>
  </si>
  <si>
    <t>Guinea-Bissau</t>
  </si>
  <si>
    <t>Bissau</t>
  </si>
  <si>
    <t>-15.1804</t>
  </si>
  <si>
    <t>11.8037</t>
  </si>
  <si>
    <t>Liberia</t>
  </si>
  <si>
    <t>Monrovia</t>
  </si>
  <si>
    <t>Mali</t>
  </si>
  <si>
    <t>Bamako</t>
  </si>
  <si>
    <t>Sierra Leone</t>
  </si>
  <si>
    <t>Freetown</t>
  </si>
  <si>
    <t>Burkina Faso</t>
  </si>
  <si>
    <t>Ouagadougou</t>
  </si>
  <si>
    <t>-1.53395</t>
  </si>
  <si>
    <t>12.3605</t>
  </si>
  <si>
    <t>Chad</t>
  </si>
  <si>
    <t>N'Djamena</t>
  </si>
  <si>
    <t>15.0445</t>
  </si>
  <si>
    <t>12.1048</t>
  </si>
  <si>
    <t>Togo</t>
  </si>
  <si>
    <t>Lome</t>
  </si>
  <si>
    <t>Gambia (Republic of The)</t>
  </si>
  <si>
    <t>Banjul</t>
  </si>
  <si>
    <t>-16.5885</t>
  </si>
  <si>
    <t>13.4495</t>
  </si>
  <si>
    <t>Country group</t>
  </si>
  <si>
    <t>N</t>
  </si>
  <si>
    <t>Pearson’s r</t>
  </si>
  <si>
    <t>p-value</t>
  </si>
  <si>
    <t>Spearman’s ρ</t>
  </si>
  <si>
    <t>Uganda</t>
  </si>
  <si>
    <t>Kampala</t>
  </si>
  <si>
    <t>All countries</t>
  </si>
  <si>
    <t>–0.189</t>
  </si>
  <si>
    <t>–0.067</t>
  </si>
  <si>
    <t>Rwanda</t>
  </si>
  <si>
    <t>Kigali</t>
  </si>
  <si>
    <t>Low &amp; lower-middle income</t>
  </si>
  <si>
    <t>Zambia</t>
  </si>
  <si>
    <t>Lusaka</t>
  </si>
  <si>
    <t>Upper-middle &amp; high income</t>
  </si>
  <si>
    <t>–0.264</t>
  </si>
  <si>
    <t>–0.213</t>
  </si>
  <si>
    <t>Ukraine</t>
  </si>
  <si>
    <t>Europe &amp; Central Asia</t>
  </si>
  <si>
    <t>Kiev</t>
  </si>
  <si>
    <t>Lower middle income</t>
  </si>
  <si>
    <t>IBRD</t>
  </si>
  <si>
    <t>Kyrgyzstan</t>
  </si>
  <si>
    <t>Bishkek</t>
  </si>
  <si>
    <t>Pakistan</t>
  </si>
  <si>
    <t>South Asia</t>
  </si>
  <si>
    <t>Islamabad</t>
  </si>
  <si>
    <t>Blend</t>
  </si>
  <si>
    <t>Nepal</t>
  </si>
  <si>
    <t>Kathmandu</t>
  </si>
  <si>
    <t>Myanmar</t>
  </si>
  <si>
    <t>East Asia &amp; Pacific</t>
  </si>
  <si>
    <t>Naypyidaw</t>
  </si>
  <si>
    <t>Uzbekistan</t>
  </si>
  <si>
    <t>Tashkent</t>
  </si>
  <si>
    <t>Mongolia</t>
  </si>
  <si>
    <t>Ulaanbaatar</t>
  </si>
  <si>
    <t>Lebanon</t>
  </si>
  <si>
    <t>Middle East &amp; North Africa</t>
  </si>
  <si>
    <t>Beirut</t>
  </si>
  <si>
    <t>Egypt</t>
  </si>
  <si>
    <t>Cairo</t>
  </si>
  <si>
    <t>31.2461</t>
  </si>
  <si>
    <t>30.0982</t>
  </si>
  <si>
    <t>Mauritania</t>
  </si>
  <si>
    <t>Nouakchott</t>
  </si>
  <si>
    <t>India</t>
  </si>
  <si>
    <t>New Delhi</t>
  </si>
  <si>
    <t>77.225</t>
  </si>
  <si>
    <t>28.6353</t>
  </si>
  <si>
    <t>Bangladesh</t>
  </si>
  <si>
    <t>Dhaka</t>
  </si>
  <si>
    <t>90.4113</t>
  </si>
  <si>
    <t>23.7055</t>
  </si>
  <si>
    <t>Tunisia</t>
  </si>
  <si>
    <t>Tunis</t>
  </si>
  <si>
    <t>Benin</t>
  </si>
  <si>
    <t>Porto-Novo</t>
  </si>
  <si>
    <t>2.6323</t>
  </si>
  <si>
    <t>6.4779</t>
  </si>
  <si>
    <t>Nigeria</t>
  </si>
  <si>
    <t>Abuja</t>
  </si>
  <si>
    <t>Côte D'Ivoire</t>
  </si>
  <si>
    <t>Yamoussoukro</t>
  </si>
  <si>
    <t>-4.0305</t>
  </si>
  <si>
    <t>5.332</t>
  </si>
  <si>
    <t>Indonesia</t>
  </si>
  <si>
    <t>Jakarta</t>
  </si>
  <si>
    <t>106.83</t>
  </si>
  <si>
    <t>-6.19752</t>
  </si>
  <si>
    <t>Viet Nam</t>
  </si>
  <si>
    <t>Senegal</t>
  </si>
  <si>
    <t>Dakar</t>
  </si>
  <si>
    <t>Sri Lanka</t>
  </si>
  <si>
    <t>Colombo</t>
  </si>
  <si>
    <t>Kenya</t>
  </si>
  <si>
    <t>Nairobi</t>
  </si>
  <si>
    <t>36.8126</t>
  </si>
  <si>
    <t>-1.27975</t>
  </si>
  <si>
    <t>Laos</t>
  </si>
  <si>
    <t>Vientiane</t>
  </si>
  <si>
    <t>El Salvador</t>
  </si>
  <si>
    <t>Latin America &amp; Caribbean</t>
  </si>
  <si>
    <t>San Salvador</t>
  </si>
  <si>
    <t>-89.2073</t>
  </si>
  <si>
    <t>13.7034</t>
  </si>
  <si>
    <t>Philippines</t>
  </si>
  <si>
    <t>Manila</t>
  </si>
  <si>
    <t>Bolivia (Plurinational State of)</t>
  </si>
  <si>
    <t>La Paz</t>
  </si>
  <si>
    <t>-66.1936</t>
  </si>
  <si>
    <t>-13.9908</t>
  </si>
  <si>
    <t>Djibouti</t>
  </si>
  <si>
    <t>43.1425</t>
  </si>
  <si>
    <t>11.5806</t>
  </si>
  <si>
    <t>Cabo Verde</t>
  </si>
  <si>
    <t>Praia</t>
  </si>
  <si>
    <t>-23.5087</t>
  </si>
  <si>
    <t>14.9218</t>
  </si>
  <si>
    <t>Ghana</t>
  </si>
  <si>
    <t>Accra</t>
  </si>
  <si>
    <t>-0.20795</t>
  </si>
  <si>
    <t>5.57045</t>
  </si>
  <si>
    <t>Lesotho</t>
  </si>
  <si>
    <t>Maseru</t>
  </si>
  <si>
    <t>Honduras</t>
  </si>
  <si>
    <t>Tegucigalpa</t>
  </si>
  <si>
    <t>-87.4667</t>
  </si>
  <si>
    <t>15.1333</t>
  </si>
  <si>
    <t>Zimbabwe</t>
  </si>
  <si>
    <t>Harare</t>
  </si>
  <si>
    <t>Moldova</t>
  </si>
  <si>
    <t>Chisinau</t>
  </si>
  <si>
    <t>Upper middle income</t>
  </si>
  <si>
    <t>Armenia</t>
  </si>
  <si>
    <t>Yerevan</t>
  </si>
  <si>
    <t>44.509</t>
  </si>
  <si>
    <t>40.1596</t>
  </si>
  <si>
    <t>Albania</t>
  </si>
  <si>
    <t>Tirane</t>
  </si>
  <si>
    <t>19.8172</t>
  </si>
  <si>
    <t>41.3317</t>
  </si>
  <si>
    <t>Bosnia and Herzegovina</t>
  </si>
  <si>
    <t>Sarajevo</t>
  </si>
  <si>
    <t>18.4214</t>
  </si>
  <si>
    <t>43.8607</t>
  </si>
  <si>
    <t>Serbia</t>
  </si>
  <si>
    <t>Belgrade</t>
  </si>
  <si>
    <t>Georgia</t>
  </si>
  <si>
    <t>Tbilisi</t>
  </si>
  <si>
    <t>44.793</t>
  </si>
  <si>
    <t>41.71</t>
  </si>
  <si>
    <t>North Macedonia</t>
  </si>
  <si>
    <t>Skopje</t>
  </si>
  <si>
    <t>21.4361</t>
  </si>
  <si>
    <t>42.0024</t>
  </si>
  <si>
    <t>Jordan</t>
  </si>
  <si>
    <t>Amman</t>
  </si>
  <si>
    <t>35.9263</t>
  </si>
  <si>
    <t>31.9497</t>
  </si>
  <si>
    <t>Montenegro</t>
  </si>
  <si>
    <t>Podgorica</t>
  </si>
  <si>
    <t>Thailand</t>
  </si>
  <si>
    <t>Bangkok</t>
  </si>
  <si>
    <t>Russian Federation</t>
  </si>
  <si>
    <t>Moscow</t>
  </si>
  <si>
    <t>Mauritius</t>
  </si>
  <si>
    <t>Port Louis</t>
  </si>
  <si>
    <t>Dominican Republic</t>
  </si>
  <si>
    <t>Santo Domingo</t>
  </si>
  <si>
    <t>-69.8908</t>
  </si>
  <si>
    <t>18.479</t>
  </si>
  <si>
    <t>Bulgaria</t>
  </si>
  <si>
    <t>Sofia</t>
  </si>
  <si>
    <t>23.3238</t>
  </si>
  <si>
    <t>42.7105</t>
  </si>
  <si>
    <t>Jamaica</t>
  </si>
  <si>
    <t>Kingston</t>
  </si>
  <si>
    <t>-76.792</t>
  </si>
  <si>
    <t>17.9927</t>
  </si>
  <si>
    <t>Peru</t>
  </si>
  <si>
    <t>Lima</t>
  </si>
  <si>
    <t>Malaysia</t>
  </si>
  <si>
    <t>Kuala Lumpur</t>
  </si>
  <si>
    <t>Argentina</t>
  </si>
  <si>
    <t>Buenos Aires</t>
  </si>
  <si>
    <t>-58.4173</t>
  </si>
  <si>
    <t>-34.6118</t>
  </si>
  <si>
    <t>Mexico</t>
  </si>
  <si>
    <t>Mexico City</t>
  </si>
  <si>
    <t>Türkiye</t>
  </si>
  <si>
    <t>Ankara</t>
  </si>
  <si>
    <t>Ecuador</t>
  </si>
  <si>
    <t>Quito</t>
  </si>
  <si>
    <t>-78.5243</t>
  </si>
  <si>
    <t>-0.229498</t>
  </si>
  <si>
    <t>Guyana</t>
  </si>
  <si>
    <t>Georgetown</t>
  </si>
  <si>
    <t>-58.1548</t>
  </si>
  <si>
    <t>6.80461</t>
  </si>
  <si>
    <t>Paraguay</t>
  </si>
  <si>
    <t>Asuncion</t>
  </si>
  <si>
    <t>Costa Rica</t>
  </si>
  <si>
    <t>San Jose</t>
  </si>
  <si>
    <t>-84.0089</t>
  </si>
  <si>
    <t>9.63701</t>
  </si>
  <si>
    <t>Guatemala</t>
  </si>
  <si>
    <t>Guatemala City</t>
  </si>
  <si>
    <t>-90.5328</t>
  </si>
  <si>
    <t>14.6248</t>
  </si>
  <si>
    <t>Brazil</t>
  </si>
  <si>
    <t>Brasilia</t>
  </si>
  <si>
    <t>-47.9292</t>
  </si>
  <si>
    <t>-15.7801</t>
  </si>
  <si>
    <t>Botswana</t>
  </si>
  <si>
    <t>Gaborone</t>
  </si>
  <si>
    <t>25.9201</t>
  </si>
  <si>
    <t>-24.6544</t>
  </si>
  <si>
    <t>Colombia</t>
  </si>
  <si>
    <t>Bogota</t>
  </si>
  <si>
    <t>-74.082</t>
  </si>
  <si>
    <t>4.60987</t>
  </si>
  <si>
    <t>Namibia</t>
  </si>
  <si>
    <t>Windhoek</t>
  </si>
  <si>
    <t>South Africa</t>
  </si>
  <si>
    <t>Pretoria</t>
  </si>
  <si>
    <t>Slovakia</t>
  </si>
  <si>
    <t>Bratislava</t>
  </si>
  <si>
    <t>High income</t>
  </si>
  <si>
    <t>Not classified</t>
  </si>
  <si>
    <t>Slovenia</t>
  </si>
  <si>
    <t>Ljubljana</t>
  </si>
  <si>
    <t>Netherlands</t>
  </si>
  <si>
    <t>Amsterdam</t>
  </si>
  <si>
    <t>Czechia</t>
  </si>
  <si>
    <t>Prague</t>
  </si>
  <si>
    <t>Belgium</t>
  </si>
  <si>
    <t>Brussels</t>
  </si>
  <si>
    <t>4.36761</t>
  </si>
  <si>
    <t>50.8371</t>
  </si>
  <si>
    <t>Finland</t>
  </si>
  <si>
    <t>Helsinki</t>
  </si>
  <si>
    <t>24.9525</t>
  </si>
  <si>
    <t>60.1608</t>
  </si>
  <si>
    <t>Norway</t>
  </si>
  <si>
    <t>Oslo</t>
  </si>
  <si>
    <t>Denmark</t>
  </si>
  <si>
    <t>Copenhagen</t>
  </si>
  <si>
    <t>12.5681</t>
  </si>
  <si>
    <t>55.6763</t>
  </si>
  <si>
    <t>Poland</t>
  </si>
  <si>
    <t>Warsaw</t>
  </si>
  <si>
    <t>Croatia</t>
  </si>
  <si>
    <t>Zagreb</t>
  </si>
  <si>
    <t>15.9614</t>
  </si>
  <si>
    <t>45.8069</t>
  </si>
  <si>
    <t>Hungary</t>
  </si>
  <si>
    <t>Budapest</t>
  </si>
  <si>
    <t>19.0408</t>
  </si>
  <si>
    <t>47.4984</t>
  </si>
  <si>
    <t>Sweden</t>
  </si>
  <si>
    <t>Stockholm</t>
  </si>
  <si>
    <t>Ireland</t>
  </si>
  <si>
    <t>Dublin</t>
  </si>
  <si>
    <t>-6.26749</t>
  </si>
  <si>
    <t>53.3441</t>
  </si>
  <si>
    <t>Austria</t>
  </si>
  <si>
    <t>Vienna</t>
  </si>
  <si>
    <t>16.3798</t>
  </si>
  <si>
    <t>48.2201</t>
  </si>
  <si>
    <t>Cyprus</t>
  </si>
  <si>
    <t>Nicosia</t>
  </si>
  <si>
    <t>33.3736</t>
  </si>
  <si>
    <t>35.1676</t>
  </si>
  <si>
    <t>France</t>
  </si>
  <si>
    <t>Paris</t>
  </si>
  <si>
    <t>2.35097</t>
  </si>
  <si>
    <t>48.8566</t>
  </si>
  <si>
    <t>Canada</t>
  </si>
  <si>
    <t>North America</t>
  </si>
  <si>
    <t>Ottawa</t>
  </si>
  <si>
    <t>-75.6919</t>
  </si>
  <si>
    <t>45.4215</t>
  </si>
  <si>
    <t>Estonia</t>
  </si>
  <si>
    <t>Tallinn</t>
  </si>
  <si>
    <t>24.7586</t>
  </si>
  <si>
    <t>59.4392</t>
  </si>
  <si>
    <t>Germany</t>
  </si>
  <si>
    <t>Berlin</t>
  </si>
  <si>
    <t>13.4115</t>
  </si>
  <si>
    <t>52.5235</t>
  </si>
  <si>
    <t>United Kingdom of Great Britain and Northern Ireland</t>
  </si>
  <si>
    <t>London</t>
  </si>
  <si>
    <t>Luxembourg</t>
  </si>
  <si>
    <t>Japan</t>
  </si>
  <si>
    <t>Tokyo</t>
  </si>
  <si>
    <t>139.77</t>
  </si>
  <si>
    <t>35.67</t>
  </si>
  <si>
    <t>Republic of Korea</t>
  </si>
  <si>
    <t>Seoul</t>
  </si>
  <si>
    <t>126.957</t>
  </si>
  <si>
    <t>37.5323</t>
  </si>
  <si>
    <t>Greece</t>
  </si>
  <si>
    <t>Athens</t>
  </si>
  <si>
    <t>23.7166</t>
  </si>
  <si>
    <t>37.9792</t>
  </si>
  <si>
    <t>Switzerland</t>
  </si>
  <si>
    <t>Bern</t>
  </si>
  <si>
    <t>Romania</t>
  </si>
  <si>
    <t>Bucharest</t>
  </si>
  <si>
    <t>Spain</t>
  </si>
  <si>
    <t>Madrid</t>
  </si>
  <si>
    <t>Australia</t>
  </si>
  <si>
    <t>Canberra</t>
  </si>
  <si>
    <t>149.129</t>
  </si>
  <si>
    <t>-35.282</t>
  </si>
  <si>
    <t>Latvia</t>
  </si>
  <si>
    <t>Riga</t>
  </si>
  <si>
    <t>Portugal</t>
  </si>
  <si>
    <t>Lisbon</t>
  </si>
  <si>
    <t>Italy</t>
  </si>
  <si>
    <t>Rome</t>
  </si>
  <si>
    <t>12.4823</t>
  </si>
  <si>
    <t>41.8955</t>
  </si>
  <si>
    <t>Qatar</t>
  </si>
  <si>
    <t>Doha</t>
  </si>
  <si>
    <t>Lithuania</t>
  </si>
  <si>
    <t>Vilnius</t>
  </si>
  <si>
    <t>Israel</t>
  </si>
  <si>
    <t>35.2035</t>
  </si>
  <si>
    <t>31.7717</t>
  </si>
  <si>
    <t>Uruguay</t>
  </si>
  <si>
    <t>Montevideo</t>
  </si>
  <si>
    <t>United States of America</t>
  </si>
  <si>
    <t>Washington D.C.</t>
  </si>
  <si>
    <t>Chile</t>
  </si>
  <si>
    <t>Santiago</t>
  </si>
  <si>
    <t>-70.6475</t>
  </si>
  <si>
    <t>-33.475</t>
  </si>
  <si>
    <t>Panama</t>
  </si>
  <si>
    <t>Panama City</t>
  </si>
  <si>
    <t>Cambodia</t>
  </si>
  <si>
    <t>Phnom Penh</t>
  </si>
  <si>
    <t>104.874</t>
  </si>
  <si>
    <t>11.5556</t>
  </si>
  <si>
    <t>New Zealand</t>
  </si>
  <si>
    <t>Wellington</t>
  </si>
  <si>
    <t>Afghanistan</t>
  </si>
  <si>
    <t>Kabul</t>
  </si>
  <si>
    <t>69.1761</t>
  </si>
  <si>
    <t>34.5228</t>
  </si>
  <si>
    <t>Total</t>
  </si>
  <si>
    <t>Median</t>
  </si>
  <si>
    <t>Average</t>
  </si>
  <si>
    <t>Min</t>
  </si>
  <si>
    <t>Max</t>
  </si>
  <si>
    <t>1st quartil</t>
  </si>
  <si>
    <t>3rd quartil</t>
  </si>
  <si>
    <t>Observed_TS</t>
  </si>
  <si>
    <t>Predicted_TS</t>
  </si>
  <si>
    <t>Predicted_TS_5thPCT</t>
  </si>
  <si>
    <t>Predicted_TS_95thPCT</t>
  </si>
  <si>
    <t>Predicted_TS_Paidstaff</t>
  </si>
  <si>
    <t>Predicted_TS_Volunteers</t>
  </si>
  <si>
    <t>Combined_TS</t>
  </si>
  <si>
    <t>SP.POP.TOTL</t>
  </si>
  <si>
    <t>SP.POP.TOTL_Year</t>
  </si>
  <si>
    <t>NY.GDP.MKTP.CD</t>
  </si>
  <si>
    <t>NY.GDP.MKTP.CD_Year</t>
  </si>
  <si>
    <t>NY.GDP.PCAP.CD</t>
  </si>
  <si>
    <t>NY.GDP.PCAP.CD_Year</t>
  </si>
  <si>
    <t>NY.GNP.ATLS.CD</t>
  </si>
  <si>
    <t>NY.GNP.ATLS.CD_Year</t>
  </si>
  <si>
    <t>NY.GNP.PCAP.CD</t>
  </si>
  <si>
    <t>NY.GNP.PCAP.CD_Year</t>
  </si>
  <si>
    <t>SI.POV.GINI_Year</t>
  </si>
  <si>
    <t>FP.CPI.TOTL.ZG</t>
  </si>
  <si>
    <t>FP.CPI.TOTL.ZG_Year</t>
  </si>
  <si>
    <t>Wage (USD)</t>
  </si>
  <si>
    <t>Wage (USD)_Year</t>
  </si>
  <si>
    <t xml:space="preserve">Number of paid hours (estimate) </t>
  </si>
  <si>
    <t>Number of volunteer hours (estimate)</t>
  </si>
  <si>
    <t>Number of total hours (estimate)</t>
  </si>
  <si>
    <t xml:space="preserve">Monetary value of paid workers (estimate) </t>
  </si>
  <si>
    <t>Monetary value of volunteering (estimate)</t>
  </si>
  <si>
    <t>Monetary value of total workers  (estimate)</t>
  </si>
  <si>
    <t>Share of the Monetary value of paid workers to GDP</t>
  </si>
  <si>
    <t>Share of the Monetary value of volunteering to GDP</t>
  </si>
  <si>
    <t>Share of the Monetary value of total workers to GDP</t>
  </si>
  <si>
    <t>FTE (paid workers)</t>
  </si>
  <si>
    <t>FTE (Volunteering)</t>
  </si>
  <si>
    <t>FTE (total)</t>
  </si>
  <si>
    <t>PPVEa</t>
  </si>
  <si>
    <t xml:space="preserve">Share of paid workers to total FTE </t>
  </si>
  <si>
    <t xml:space="preserve">Share of volunteers to total FTE </t>
  </si>
  <si>
    <t>GDP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</si>
</sst>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2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b/>
      <sz val="10"/>
      <color theme="1"/>
      <name val="Arial"/>
      <scheme val="minor"/>
    </font>
    <font>
      <sz val="13"/>
      <color theme="1"/>
      <name val="Arial"/>
      <scheme val="minor"/>
    </font>
    <font>
      <i/>
      <sz val="10"/>
      <color theme="1"/>
      <name val="Arial"/>
      <scheme val="minor"/>
    </font>
    <font>
      <i/>
      <sz val="11"/>
      <color theme="1"/>
      <name val="Calibri"/>
    </font>
    <font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theme="8"/>
        <bgColor theme="8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C9DAF8"/>
        <bgColor rgb="FFC9DAF8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" fontId="1" fillId="3" borderId="3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4" fontId="3" fillId="0" borderId="8" xfId="0" applyNumberFormat="1" applyFont="1" applyBorder="1" applyAlignment="1">
      <alignment horizontal="center" vertical="center"/>
    </xf>
    <xf numFmtId="0" fontId="4" fillId="5" borderId="6" xfId="0" applyFont="1" applyFill="1" applyBorder="1"/>
    <xf numFmtId="0" fontId="4" fillId="0" borderId="9" xfId="0" applyFont="1" applyBorder="1"/>
    <xf numFmtId="0" fontId="4" fillId="6" borderId="9" xfId="0" applyFont="1" applyFill="1" applyBorder="1"/>
    <xf numFmtId="0" fontId="4" fillId="0" borderId="10" xfId="0" applyFont="1" applyBorder="1"/>
    <xf numFmtId="0" fontId="4" fillId="0" borderId="0" xfId="0" applyFont="1"/>
    <xf numFmtId="0" fontId="3" fillId="4" borderId="11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4" fontId="3" fillId="0" borderId="13" xfId="0" applyNumberFormat="1" applyFont="1" applyBorder="1" applyAlignment="1">
      <alignment horizontal="center" vertical="center"/>
    </xf>
    <xf numFmtId="0" fontId="4" fillId="5" borderId="11" xfId="0" applyFont="1" applyFill="1" applyBorder="1"/>
    <xf numFmtId="0" fontId="4" fillId="0" borderId="14" xfId="0" applyFont="1" applyBorder="1"/>
    <xf numFmtId="0" fontId="4" fillId="6" borderId="14" xfId="0" applyFont="1" applyFill="1" applyBorder="1"/>
    <xf numFmtId="0" fontId="4" fillId="0" borderId="15" xfId="0" applyFont="1" applyBorder="1"/>
    <xf numFmtId="0" fontId="3" fillId="0" borderId="11" xfId="0" applyFont="1" applyBorder="1" applyAlignment="1">
      <alignment vertical="center"/>
    </xf>
    <xf numFmtId="0" fontId="5" fillId="0" borderId="16" xfId="0" applyFont="1" applyBorder="1" applyAlignment="1">
      <alignment horizontal="center"/>
    </xf>
    <xf numFmtId="0" fontId="6" fillId="7" borderId="11" xfId="0" applyFont="1" applyFill="1" applyBorder="1" applyAlignment="1">
      <alignment vertical="center"/>
    </xf>
    <xf numFmtId="0" fontId="4" fillId="7" borderId="11" xfId="0" applyFont="1" applyFill="1" applyBorder="1"/>
    <xf numFmtId="0" fontId="4" fillId="7" borderId="14" xfId="0" applyFont="1" applyFill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0" xfId="0" applyFont="1"/>
    <xf numFmtId="0" fontId="4" fillId="5" borderId="14" xfId="0" applyFont="1" applyFill="1" applyBorder="1"/>
    <xf numFmtId="0" fontId="4" fillId="6" borderId="15" xfId="0" applyFont="1" applyFill="1" applyBorder="1"/>
    <xf numFmtId="0" fontId="4" fillId="0" borderId="20" xfId="0" applyFont="1" applyBorder="1"/>
    <xf numFmtId="0" fontId="4" fillId="0" borderId="11" xfId="0" applyFont="1" applyBorder="1"/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4" fontId="3" fillId="0" borderId="23" xfId="0" applyNumberFormat="1" applyFont="1" applyBorder="1" applyAlignment="1">
      <alignment horizontal="center" vertical="center"/>
    </xf>
    <xf numFmtId="0" fontId="4" fillId="5" borderId="21" xfId="0" applyFont="1" applyFill="1" applyBorder="1"/>
    <xf numFmtId="0" fontId="4" fillId="0" borderId="24" xfId="0" applyFont="1" applyBorder="1"/>
    <xf numFmtId="0" fontId="4" fillId="6" borderId="24" xfId="0" applyFont="1" applyFill="1" applyBorder="1"/>
    <xf numFmtId="0" fontId="4" fillId="0" borderId="25" xfId="0" applyFont="1" applyBorder="1"/>
    <xf numFmtId="0" fontId="3" fillId="0" borderId="6" xfId="0" applyFont="1" applyBorder="1" applyAlignment="1">
      <alignment vertical="center"/>
    </xf>
    <xf numFmtId="0" fontId="4" fillId="5" borderId="0" xfId="0" applyFont="1" applyFill="1"/>
    <xf numFmtId="0" fontId="4" fillId="6" borderId="0" xfId="0" applyFont="1" applyFill="1"/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4" fillId="5" borderId="26" xfId="0" applyFont="1" applyFill="1" applyBorder="1"/>
    <xf numFmtId="0" fontId="4" fillId="0" borderId="28" xfId="0" applyFont="1" applyBorder="1"/>
    <xf numFmtId="0" fontId="4" fillId="6" borderId="28" xfId="0" applyFont="1" applyFill="1" applyBorder="1"/>
    <xf numFmtId="0" fontId="4" fillId="0" borderId="29" xfId="0" applyFont="1" applyBorder="1"/>
    <xf numFmtId="4" fontId="3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vertical="center"/>
    </xf>
    <xf numFmtId="3" fontId="5" fillId="0" borderId="32" xfId="0" applyNumberFormat="1" applyFont="1" applyBorder="1" applyAlignment="1">
      <alignment vertical="center"/>
    </xf>
    <xf numFmtId="4" fontId="5" fillId="0" borderId="33" xfId="0" applyNumberFormat="1" applyFont="1" applyBorder="1" applyAlignment="1">
      <alignment horizontal="center" vertical="center"/>
    </xf>
    <xf numFmtId="0" fontId="5" fillId="5" borderId="0" xfId="0" applyFont="1" applyFill="1"/>
    <xf numFmtId="0" fontId="5" fillId="0" borderId="0" xfId="0" applyFont="1"/>
    <xf numFmtId="0" fontId="5" fillId="6" borderId="0" xfId="0" applyFont="1" applyFill="1"/>
    <xf numFmtId="0" fontId="1" fillId="0" borderId="0" xfId="0" applyFont="1"/>
    <xf numFmtId="0" fontId="3" fillId="0" borderId="34" xfId="0" applyFont="1" applyBorder="1" applyAlignment="1">
      <alignment vertical="center"/>
    </xf>
    <xf numFmtId="3" fontId="3" fillId="0" borderId="26" xfId="0" applyNumberFormat="1" applyFont="1" applyBorder="1" applyAlignment="1">
      <alignment vertical="center"/>
    </xf>
    <xf numFmtId="0" fontId="3" fillId="5" borderId="0" xfId="0" applyFont="1" applyFill="1"/>
    <xf numFmtId="0" fontId="3" fillId="6" borderId="0" xfId="0" applyFont="1" applyFill="1"/>
    <xf numFmtId="0" fontId="3" fillId="0" borderId="35" xfId="0" applyFont="1" applyBorder="1" applyAlignment="1">
      <alignment vertical="center"/>
    </xf>
    <xf numFmtId="3" fontId="3" fillId="0" borderId="36" xfId="0" applyNumberFormat="1" applyFont="1" applyBorder="1" applyAlignment="1">
      <alignment vertical="center"/>
    </xf>
    <xf numFmtId="4" fontId="3" fillId="0" borderId="37" xfId="0" applyNumberFormat="1" applyFont="1" applyBorder="1" applyAlignment="1">
      <alignment horizontal="center" vertical="center"/>
    </xf>
    <xf numFmtId="0" fontId="3" fillId="0" borderId="38" xfId="0" applyFont="1" applyBorder="1" applyAlignment="1">
      <alignment vertical="center"/>
    </xf>
    <xf numFmtId="3" fontId="3" fillId="0" borderId="6" xfId="0" applyNumberFormat="1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3" fontId="3" fillId="0" borderId="21" xfId="0" applyNumberFormat="1" applyFont="1" applyBorder="1" applyAlignment="1">
      <alignment vertical="center"/>
    </xf>
    <xf numFmtId="4" fontId="3" fillId="0" borderId="40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vertical="center"/>
    </xf>
    <xf numFmtId="4" fontId="7" fillId="0" borderId="7" xfId="0" applyNumberFormat="1" applyFont="1" applyBorder="1"/>
    <xf numFmtId="4" fontId="7" fillId="0" borderId="9" xfId="0" applyNumberFormat="1" applyFont="1" applyBorder="1"/>
    <xf numFmtId="0" fontId="7" fillId="5" borderId="0" xfId="0" applyFont="1" applyFill="1"/>
    <xf numFmtId="0" fontId="7" fillId="0" borderId="0" xfId="0" applyFont="1"/>
    <xf numFmtId="0" fontId="7" fillId="6" borderId="0" xfId="0" applyFont="1" applyFill="1"/>
    <xf numFmtId="0" fontId="8" fillId="0" borderId="0" xfId="0" applyFont="1"/>
    <xf numFmtId="4" fontId="7" fillId="0" borderId="22" xfId="0" applyNumberFormat="1" applyFont="1" applyBorder="1"/>
    <xf numFmtId="4" fontId="7" fillId="0" borderId="24" xfId="0" applyNumberFormat="1" applyFont="1" applyBorder="1"/>
    <xf numFmtId="0" fontId="7" fillId="0" borderId="0" xfId="0" applyFont="1" applyAlignment="1">
      <alignment vertical="center"/>
    </xf>
    <xf numFmtId="4" fontId="7" fillId="0" borderId="0" xfId="0" applyNumberFormat="1" applyFont="1"/>
    <xf numFmtId="0" fontId="1" fillId="0" borderId="32" xfId="0" applyFont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4" borderId="26" xfId="0" applyFont="1" applyFill="1" applyBorder="1" applyAlignment="1">
      <alignment vertical="center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3" fontId="1" fillId="8" borderId="32" xfId="0" applyNumberFormat="1" applyFont="1" applyFill="1" applyBorder="1" applyAlignment="1">
      <alignment horizontal="center" vertical="center" wrapText="1"/>
    </xf>
    <xf numFmtId="164" fontId="1" fillId="2" borderId="32" xfId="0" applyNumberFormat="1" applyFont="1" applyFill="1" applyBorder="1" applyAlignment="1">
      <alignment horizontal="center" vertical="center" wrapText="1"/>
    </xf>
    <xf numFmtId="164" fontId="1" fillId="0" borderId="32" xfId="0" applyNumberFormat="1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165" fontId="1" fillId="9" borderId="41" xfId="0" applyNumberFormat="1" applyFont="1" applyFill="1" applyBorder="1" applyAlignment="1">
      <alignment horizontal="center" vertical="center" wrapText="1"/>
    </xf>
    <xf numFmtId="3" fontId="1" fillId="10" borderId="1" xfId="0" applyNumberFormat="1" applyFont="1" applyFill="1" applyBorder="1" applyAlignment="1">
      <alignment horizontal="center" vertical="center" wrapText="1"/>
    </xf>
    <xf numFmtId="3" fontId="1" fillId="10" borderId="4" xfId="0" applyNumberFormat="1" applyFont="1" applyFill="1" applyBorder="1" applyAlignment="1">
      <alignment horizontal="center" vertical="center" wrapText="1"/>
    </xf>
    <xf numFmtId="3" fontId="1" fillId="10" borderId="5" xfId="0" applyNumberFormat="1" applyFont="1" applyFill="1" applyBorder="1" applyAlignment="1">
      <alignment horizontal="center" vertical="center" wrapText="1"/>
    </xf>
    <xf numFmtId="164" fontId="1" fillId="4" borderId="7" xfId="0" applyNumberFormat="1" applyFont="1" applyFill="1" applyBorder="1" applyAlignment="1">
      <alignment horizontal="center" vertical="center" wrapText="1"/>
    </xf>
    <xf numFmtId="164" fontId="1" fillId="4" borderId="9" xfId="0" applyNumberFormat="1" applyFont="1" applyFill="1" applyBorder="1" applyAlignment="1">
      <alignment horizontal="center" vertical="center" wrapText="1"/>
    </xf>
    <xf numFmtId="164" fontId="1" fillId="4" borderId="45" xfId="0" applyNumberFormat="1" applyFont="1" applyFill="1" applyBorder="1" applyAlignment="1">
      <alignment horizontal="center" vertical="center" wrapText="1"/>
    </xf>
    <xf numFmtId="10" fontId="1" fillId="3" borderId="6" xfId="0" applyNumberFormat="1" applyFont="1" applyFill="1" applyBorder="1" applyAlignment="1">
      <alignment horizontal="center" vertical="center" wrapText="1"/>
    </xf>
    <xf numFmtId="10" fontId="1" fillId="3" borderId="9" xfId="0" applyNumberFormat="1" applyFont="1" applyFill="1" applyBorder="1" applyAlignment="1">
      <alignment horizontal="center" vertical="center" wrapText="1"/>
    </xf>
    <xf numFmtId="10" fontId="1" fillId="3" borderId="10" xfId="0" applyNumberFormat="1" applyFont="1" applyFill="1" applyBorder="1" applyAlignment="1">
      <alignment horizontal="center" vertical="center" wrapText="1"/>
    </xf>
    <xf numFmtId="3" fontId="1" fillId="11" borderId="41" xfId="0" applyNumberFormat="1" applyFont="1" applyFill="1" applyBorder="1" applyAlignment="1">
      <alignment horizontal="center" vertical="center" wrapText="1"/>
    </xf>
    <xf numFmtId="3" fontId="1" fillId="11" borderId="43" xfId="0" applyNumberFormat="1" applyFont="1" applyFill="1" applyBorder="1" applyAlignment="1">
      <alignment horizontal="center" vertical="center" wrapText="1"/>
    </xf>
    <xf numFmtId="10" fontId="1" fillId="7" borderId="8" xfId="0" applyNumberFormat="1" applyFont="1" applyFill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10" fontId="1" fillId="0" borderId="45" xfId="0" applyNumberFormat="1" applyFont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164" fontId="3" fillId="0" borderId="26" xfId="0" applyNumberFormat="1" applyFont="1" applyBorder="1" applyAlignment="1">
      <alignment vertical="center"/>
    </xf>
    <xf numFmtId="165" fontId="3" fillId="4" borderId="27" xfId="0" applyNumberFormat="1" applyFont="1" applyFill="1" applyBorder="1" applyAlignment="1">
      <alignment vertical="center"/>
    </xf>
    <xf numFmtId="0" fontId="3" fillId="4" borderId="46" xfId="0" applyFont="1" applyFill="1" applyBorder="1" applyAlignment="1">
      <alignment vertical="center"/>
    </xf>
    <xf numFmtId="3" fontId="3" fillId="0" borderId="8" xfId="0" applyNumberFormat="1" applyFont="1" applyBorder="1" applyAlignment="1">
      <alignment vertical="center"/>
    </xf>
    <xf numFmtId="164" fontId="3" fillId="0" borderId="12" xfId="0" applyNumberFormat="1" applyFont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4" fontId="3" fillId="0" borderId="47" xfId="0" applyNumberFormat="1" applyFont="1" applyBorder="1" applyAlignment="1">
      <alignment vertical="center"/>
    </xf>
    <xf numFmtId="10" fontId="3" fillId="0" borderId="11" xfId="0" applyNumberFormat="1" applyFont="1" applyBorder="1" applyAlignment="1">
      <alignment vertical="center"/>
    </xf>
    <xf numFmtId="10" fontId="3" fillId="0" borderId="14" xfId="0" applyNumberFormat="1" applyFont="1" applyBorder="1" applyAlignment="1">
      <alignment vertical="center"/>
    </xf>
    <xf numFmtId="10" fontId="3" fillId="0" borderId="15" xfId="0" applyNumberFormat="1" applyFont="1" applyBorder="1" applyAlignment="1">
      <alignment vertical="center"/>
    </xf>
    <xf numFmtId="3" fontId="3" fillId="0" borderId="27" xfId="0" applyNumberFormat="1" applyFont="1" applyBorder="1" applyAlignment="1">
      <alignment vertical="center"/>
    </xf>
    <xf numFmtId="3" fontId="3" fillId="0" borderId="46" xfId="0" applyNumberFormat="1" applyFont="1" applyBorder="1" applyAlignment="1">
      <alignment vertical="center"/>
    </xf>
    <xf numFmtId="10" fontId="3" fillId="0" borderId="48" xfId="0" applyNumberFormat="1" applyFont="1" applyBorder="1"/>
    <xf numFmtId="10" fontId="3" fillId="0" borderId="12" xfId="0" applyNumberFormat="1" applyFont="1" applyBorder="1"/>
    <xf numFmtId="10" fontId="3" fillId="0" borderId="47" xfId="0" applyNumberFormat="1" applyFont="1" applyBorder="1"/>
    <xf numFmtId="10" fontId="3" fillId="0" borderId="48" xfId="0" applyNumberFormat="1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47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3" fontId="3" fillId="0" borderId="11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65" fontId="3" fillId="0" borderId="12" xfId="0" applyNumberFormat="1" applyFont="1" applyBorder="1" applyAlignment="1">
      <alignment vertical="center"/>
    </xf>
    <xf numFmtId="3" fontId="3" fillId="0" borderId="48" xfId="0" applyNumberFormat="1" applyFont="1" applyBorder="1" applyAlignment="1">
      <alignment vertical="center"/>
    </xf>
    <xf numFmtId="3" fontId="3" fillId="0" borderId="12" xfId="0" applyNumberFormat="1" applyFont="1" applyBorder="1" applyAlignment="1">
      <alignment vertical="center"/>
    </xf>
    <xf numFmtId="3" fontId="3" fillId="0" borderId="47" xfId="0" applyNumberFormat="1" applyFont="1" applyBorder="1" applyAlignment="1">
      <alignment vertical="center"/>
    </xf>
    <xf numFmtId="165" fontId="3" fillId="4" borderId="12" xfId="0" applyNumberFormat="1" applyFont="1" applyFill="1" applyBorder="1" applyAlignment="1">
      <alignment vertical="center"/>
    </xf>
    <xf numFmtId="0" fontId="3" fillId="4" borderId="47" xfId="0" applyFont="1" applyFill="1" applyBorder="1" applyAlignment="1">
      <alignment vertical="center"/>
    </xf>
    <xf numFmtId="165" fontId="3" fillId="12" borderId="12" xfId="0" applyNumberFormat="1" applyFont="1" applyFill="1" applyBorder="1" applyAlignment="1">
      <alignment vertical="center"/>
    </xf>
    <xf numFmtId="0" fontId="3" fillId="12" borderId="47" xfId="0" applyFont="1" applyFill="1" applyBorder="1" applyAlignment="1">
      <alignment vertical="center"/>
    </xf>
    <xf numFmtId="0" fontId="3" fillId="0" borderId="11" xfId="0" applyFont="1" applyBorder="1"/>
    <xf numFmtId="165" fontId="3" fillId="0" borderId="27" xfId="0" applyNumberFormat="1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10" fontId="3" fillId="0" borderId="11" xfId="0" applyNumberFormat="1" applyFont="1" applyBorder="1"/>
    <xf numFmtId="10" fontId="3" fillId="0" borderId="0" xfId="0" applyNumberFormat="1" applyFont="1" applyAlignment="1">
      <alignment vertical="center"/>
    </xf>
    <xf numFmtId="0" fontId="3" fillId="0" borderId="49" xfId="0" applyFont="1" applyBorder="1" applyAlignment="1">
      <alignment vertical="center"/>
    </xf>
    <xf numFmtId="10" fontId="3" fillId="0" borderId="36" xfId="0" applyNumberFormat="1" applyFont="1" applyBorder="1" applyAlignment="1">
      <alignment vertical="center"/>
    </xf>
    <xf numFmtId="10" fontId="3" fillId="0" borderId="50" xfId="0" applyNumberFormat="1" applyFont="1" applyBorder="1" applyAlignment="1">
      <alignment vertical="center"/>
    </xf>
    <xf numFmtId="10" fontId="3" fillId="0" borderId="51" xfId="0" applyNumberFormat="1" applyFont="1" applyBorder="1" applyAlignment="1">
      <alignment vertical="center"/>
    </xf>
    <xf numFmtId="3" fontId="3" fillId="0" borderId="52" xfId="0" applyNumberFormat="1" applyFont="1" applyBorder="1" applyAlignment="1">
      <alignment vertical="center"/>
    </xf>
    <xf numFmtId="3" fontId="3" fillId="0" borderId="49" xfId="0" applyNumberFormat="1" applyFont="1" applyBorder="1" applyAlignment="1">
      <alignment vertical="center"/>
    </xf>
    <xf numFmtId="10" fontId="3" fillId="0" borderId="37" xfId="0" applyNumberFormat="1" applyFont="1" applyBorder="1" applyAlignment="1">
      <alignment vertical="center"/>
    </xf>
    <xf numFmtId="10" fontId="3" fillId="0" borderId="52" xfId="0" applyNumberFormat="1" applyFont="1" applyBorder="1"/>
    <xf numFmtId="10" fontId="3" fillId="0" borderId="49" xfId="0" applyNumberFormat="1" applyFont="1" applyBorder="1"/>
    <xf numFmtId="0" fontId="5" fillId="0" borderId="0" xfId="0" applyFont="1" applyAlignment="1">
      <alignment vertical="center"/>
    </xf>
    <xf numFmtId="3" fontId="5" fillId="0" borderId="11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3" fontId="5" fillId="0" borderId="42" xfId="0" applyNumberFormat="1" applyFont="1" applyBorder="1" applyAlignment="1">
      <alignment vertical="center"/>
    </xf>
    <xf numFmtId="3" fontId="5" fillId="0" borderId="44" xfId="0" applyNumberFormat="1" applyFont="1" applyBorder="1" applyAlignment="1">
      <alignment vertical="center"/>
    </xf>
    <xf numFmtId="164" fontId="5" fillId="0" borderId="41" xfId="0" applyNumberFormat="1" applyFont="1" applyBorder="1" applyAlignment="1">
      <alignment vertical="center"/>
    </xf>
    <xf numFmtId="3" fontId="5" fillId="0" borderId="41" xfId="0" applyNumberFormat="1" applyFont="1" applyBorder="1" applyAlignment="1">
      <alignment vertical="center"/>
    </xf>
    <xf numFmtId="10" fontId="5" fillId="0" borderId="42" xfId="0" applyNumberFormat="1" applyFont="1" applyBorder="1" applyAlignment="1">
      <alignment vertical="center"/>
    </xf>
    <xf numFmtId="4" fontId="3" fillId="0" borderId="26" xfId="0" applyNumberFormat="1" applyFont="1" applyBorder="1" applyAlignment="1">
      <alignment vertical="center"/>
    </xf>
    <xf numFmtId="3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3" fontId="3" fillId="0" borderId="28" xfId="0" applyNumberFormat="1" applyFont="1" applyBorder="1" applyAlignment="1">
      <alignment vertical="center"/>
    </xf>
    <xf numFmtId="3" fontId="3" fillId="0" borderId="29" xfId="0" applyNumberFormat="1" applyFont="1" applyBorder="1" applyAlignment="1">
      <alignment vertical="center"/>
    </xf>
    <xf numFmtId="10" fontId="3" fillId="0" borderId="26" xfId="0" applyNumberFormat="1" applyFont="1" applyBorder="1" applyAlignment="1">
      <alignment vertical="center"/>
    </xf>
    <xf numFmtId="10" fontId="3" fillId="0" borderId="28" xfId="0" applyNumberFormat="1" applyFont="1" applyBorder="1" applyAlignment="1">
      <alignment vertical="center"/>
    </xf>
    <xf numFmtId="10" fontId="3" fillId="0" borderId="29" xfId="0" applyNumberFormat="1" applyFont="1" applyBorder="1" applyAlignment="1">
      <alignment vertical="center"/>
    </xf>
    <xf numFmtId="10" fontId="3" fillId="0" borderId="8" xfId="0" applyNumberFormat="1" applyFont="1" applyBorder="1" applyAlignment="1">
      <alignment vertical="center"/>
    </xf>
    <xf numFmtId="10" fontId="3" fillId="0" borderId="27" xfId="0" applyNumberFormat="1" applyFont="1" applyBorder="1" applyAlignment="1">
      <alignment vertical="center"/>
    </xf>
    <xf numFmtId="4" fontId="3" fillId="0" borderId="36" xfId="0" applyNumberFormat="1" applyFont="1" applyBorder="1" applyAlignment="1">
      <alignment vertical="center"/>
    </xf>
    <xf numFmtId="3" fontId="3" fillId="0" borderId="50" xfId="0" applyNumberFormat="1" applyFont="1" applyBorder="1" applyAlignment="1">
      <alignment vertical="center"/>
    </xf>
    <xf numFmtId="3" fontId="3" fillId="0" borderId="51" xfId="0" applyNumberFormat="1" applyFont="1" applyBorder="1" applyAlignment="1">
      <alignment vertical="center"/>
    </xf>
    <xf numFmtId="10" fontId="3" fillId="0" borderId="52" xfId="0" applyNumberFormat="1" applyFont="1" applyBorder="1" applyAlignment="1">
      <alignment vertical="center"/>
    </xf>
    <xf numFmtId="4" fontId="3" fillId="0" borderId="6" xfId="0" applyNumberFormat="1" applyFont="1" applyBorder="1" applyAlignment="1">
      <alignment vertical="center"/>
    </xf>
    <xf numFmtId="3" fontId="3" fillId="0" borderId="9" xfId="0" applyNumberFormat="1" applyFont="1" applyBorder="1" applyAlignment="1">
      <alignment vertical="center"/>
    </xf>
    <xf numFmtId="3" fontId="3" fillId="0" borderId="10" xfId="0" applyNumberFormat="1" applyFont="1" applyBorder="1" applyAlignment="1">
      <alignment vertical="center"/>
    </xf>
    <xf numFmtId="3" fontId="3" fillId="0" borderId="7" xfId="0" applyNumberFormat="1" applyFont="1" applyBorder="1" applyAlignment="1">
      <alignment vertical="center"/>
    </xf>
    <xf numFmtId="3" fontId="3" fillId="0" borderId="45" xfId="0" applyNumberFormat="1" applyFont="1" applyBorder="1" applyAlignment="1">
      <alignment vertical="center"/>
    </xf>
    <xf numFmtId="10" fontId="3" fillId="0" borderId="6" xfId="0" applyNumberFormat="1" applyFont="1" applyBorder="1" applyAlignment="1">
      <alignment vertical="center"/>
    </xf>
    <xf numFmtId="10" fontId="3" fillId="0" borderId="9" xfId="0" applyNumberFormat="1" applyFont="1" applyBorder="1" applyAlignment="1">
      <alignment vertical="center"/>
    </xf>
    <xf numFmtId="10" fontId="3" fillId="0" borderId="10" xfId="0" applyNumberFormat="1" applyFont="1" applyBorder="1" applyAlignment="1">
      <alignment vertical="center"/>
    </xf>
    <xf numFmtId="10" fontId="3" fillId="0" borderId="7" xfId="0" applyNumberFormat="1" applyFont="1" applyBorder="1" applyAlignment="1">
      <alignment vertical="center"/>
    </xf>
    <xf numFmtId="4" fontId="3" fillId="0" borderId="21" xfId="0" applyNumberFormat="1" applyFont="1" applyBorder="1" applyAlignment="1">
      <alignment vertical="center"/>
    </xf>
    <xf numFmtId="3" fontId="3" fillId="0" borderId="24" xfId="0" applyNumberFormat="1" applyFont="1" applyBorder="1" applyAlignment="1">
      <alignment vertical="center"/>
    </xf>
    <xf numFmtId="3" fontId="3" fillId="0" borderId="25" xfId="0" applyNumberFormat="1" applyFont="1" applyBorder="1" applyAlignment="1">
      <alignment vertical="center"/>
    </xf>
    <xf numFmtId="3" fontId="3" fillId="0" borderId="22" xfId="0" applyNumberFormat="1" applyFont="1" applyBorder="1" applyAlignment="1">
      <alignment vertical="center"/>
    </xf>
    <xf numFmtId="3" fontId="3" fillId="0" borderId="55" xfId="0" applyNumberFormat="1" applyFont="1" applyBorder="1" applyAlignment="1">
      <alignment vertical="center"/>
    </xf>
    <xf numFmtId="10" fontId="3" fillId="0" borderId="21" xfId="0" applyNumberFormat="1" applyFont="1" applyBorder="1" applyAlignment="1">
      <alignment vertical="center"/>
    </xf>
    <xf numFmtId="10" fontId="3" fillId="0" borderId="24" xfId="0" applyNumberFormat="1" applyFont="1" applyBorder="1" applyAlignment="1">
      <alignment vertical="center"/>
    </xf>
    <xf numFmtId="10" fontId="3" fillId="0" borderId="25" xfId="0" applyNumberFormat="1" applyFont="1" applyBorder="1" applyAlignment="1">
      <alignment vertical="center"/>
    </xf>
    <xf numFmtId="10" fontId="3" fillId="0" borderId="40" xfId="0" applyNumberFormat="1" applyFont="1" applyBorder="1" applyAlignment="1">
      <alignment vertical="center"/>
    </xf>
    <xf numFmtId="10" fontId="3" fillId="0" borderId="22" xfId="0" applyNumberFormat="1" applyFont="1" applyBorder="1" applyAlignment="1">
      <alignment vertical="center"/>
    </xf>
    <xf numFmtId="3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0" fontId="7" fillId="0" borderId="6" xfId="0" applyNumberFormat="1" applyFont="1" applyBorder="1" applyAlignment="1">
      <alignment vertical="center"/>
    </xf>
    <xf numFmtId="10" fontId="7" fillId="0" borderId="9" xfId="0" applyNumberFormat="1" applyFont="1" applyBorder="1" applyAlignment="1">
      <alignment vertical="center"/>
    </xf>
    <xf numFmtId="10" fontId="7" fillId="0" borderId="10" xfId="0" applyNumberFormat="1" applyFont="1" applyBorder="1" applyAlignment="1">
      <alignment vertical="center"/>
    </xf>
    <xf numFmtId="10" fontId="7" fillId="0" borderId="8" xfId="0" applyNumberFormat="1" applyFont="1" applyBorder="1" applyAlignment="1">
      <alignment vertical="center"/>
    </xf>
    <xf numFmtId="10" fontId="7" fillId="0" borderId="7" xfId="0" applyNumberFormat="1" applyFont="1" applyBorder="1" applyAlignment="1">
      <alignment vertical="center"/>
    </xf>
    <xf numFmtId="10" fontId="7" fillId="0" borderId="21" xfId="0" applyNumberFormat="1" applyFont="1" applyBorder="1" applyAlignment="1">
      <alignment vertical="center"/>
    </xf>
    <xf numFmtId="10" fontId="7" fillId="0" borderId="24" xfId="0" applyNumberFormat="1" applyFont="1" applyBorder="1" applyAlignment="1">
      <alignment vertical="center"/>
    </xf>
    <xf numFmtId="10" fontId="7" fillId="0" borderId="25" xfId="0" applyNumberFormat="1" applyFont="1" applyBorder="1" applyAlignment="1">
      <alignment vertical="center"/>
    </xf>
    <xf numFmtId="10" fontId="7" fillId="0" borderId="40" xfId="0" applyNumberFormat="1" applyFont="1" applyBorder="1" applyAlignment="1">
      <alignment vertical="center"/>
    </xf>
    <xf numFmtId="10" fontId="7" fillId="0" borderId="22" xfId="0" applyNumberFormat="1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10" fontId="5" fillId="0" borderId="31" xfId="0" applyNumberFormat="1" applyFont="1" applyBorder="1" applyAlignment="1">
      <alignment vertical="center"/>
    </xf>
    <xf numFmtId="0" fontId="9" fillId="0" borderId="53" xfId="0" applyFont="1" applyBorder="1"/>
    <xf numFmtId="0" fontId="9" fillId="0" borderId="54" xfId="0" applyFont="1" applyBorder="1"/>
    <xf numFmtId="10" fontId="5" fillId="0" borderId="4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„PPVEa“ oproti „NY.GDP.PCAP.CD“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'Final dataset'!$BC$1</c:f>
              <c:strCache>
                <c:ptCount val="1"/>
                <c:pt idx="0">
                  <c:v>PPVEa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'Final dataset'!$BB$2:$BB$115</c:f>
              <c:numCache>
                <c:formatCode>"$"#,##0</c:formatCode>
                <c:ptCount val="114"/>
                <c:pt idx="0">
                  <c:v>49463.855461734303</c:v>
                </c:pt>
                <c:pt idx="2">
                  <c:v>11379.086100063199</c:v>
                </c:pt>
                <c:pt idx="3">
                  <c:v>54343.226508495798</c:v>
                </c:pt>
                <c:pt idx="5">
                  <c:v>128678.18994282599</c:v>
                </c:pt>
                <c:pt idx="6">
                  <c:v>1706.4421802476199</c:v>
                </c:pt>
                <c:pt idx="7">
                  <c:v>1952.3045792963601</c:v>
                </c:pt>
                <c:pt idx="8">
                  <c:v>68453.876928114507</c:v>
                </c:pt>
                <c:pt idx="9">
                  <c:v>4282.0885172450598</c:v>
                </c:pt>
                <c:pt idx="10">
                  <c:v>99564.710026144996</c:v>
                </c:pt>
                <c:pt idx="11">
                  <c:v>1365.27743222493</c:v>
                </c:pt>
                <c:pt idx="12">
                  <c:v>7182.0252581241502</c:v>
                </c:pt>
                <c:pt idx="13">
                  <c:v>771.88714208967701</c:v>
                </c:pt>
                <c:pt idx="14">
                  <c:v>8053.0106631234503</c:v>
                </c:pt>
                <c:pt idx="15">
                  <c:v>54700.9093236712</c:v>
                </c:pt>
                <c:pt idx="16">
                  <c:v>1596.63696129001</c:v>
                </c:pt>
                <c:pt idx="17">
                  <c:v>6839.7250388696802</c:v>
                </c:pt>
                <c:pt idx="19">
                  <c:v>1330.7278057670901</c:v>
                </c:pt>
                <c:pt idx="20">
                  <c:v>22141.866979927599</c:v>
                </c:pt>
                <c:pt idx="21">
                  <c:v>16942.0268119375</c:v>
                </c:pt>
                <c:pt idx="22">
                  <c:v>13817.0458984375</c:v>
                </c:pt>
                <c:pt idx="24">
                  <c:v>23400.7278817691</c:v>
                </c:pt>
                <c:pt idx="25">
                  <c:v>64572.005955885397</c:v>
                </c:pt>
                <c:pt idx="27">
                  <c:v>53431.1857063879</c:v>
                </c:pt>
                <c:pt idx="28">
                  <c:v>4876.3143270318797</c:v>
                </c:pt>
                <c:pt idx="29">
                  <c:v>3686.27996490544</c:v>
                </c:pt>
                <c:pt idx="30">
                  <c:v>17067.813615060099</c:v>
                </c:pt>
                <c:pt idx="31">
                  <c:v>2480.7920872162099</c:v>
                </c:pt>
                <c:pt idx="32">
                  <c:v>1394.37330217623</c:v>
                </c:pt>
                <c:pt idx="35">
                  <c:v>2551.0177267414201</c:v>
                </c:pt>
                <c:pt idx="36">
                  <c:v>1010.2689290183999</c:v>
                </c:pt>
                <c:pt idx="38">
                  <c:v>33121.371288550799</c:v>
                </c:pt>
                <c:pt idx="39">
                  <c:v>11613.044158758799</c:v>
                </c:pt>
                <c:pt idx="40">
                  <c:v>10294.866680777999</c:v>
                </c:pt>
                <c:pt idx="41">
                  <c:v>27331.209494525501</c:v>
                </c:pt>
                <c:pt idx="42">
                  <c:v>2849.5146107191099</c:v>
                </c:pt>
                <c:pt idx="43">
                  <c:v>2530.8465930172301</c:v>
                </c:pt>
                <c:pt idx="44">
                  <c:v>52642.426748630802</c:v>
                </c:pt>
                <c:pt idx="45">
                  <c:v>2120.8232035895298</c:v>
                </c:pt>
                <c:pt idx="46">
                  <c:v>869.27023428699204</c:v>
                </c:pt>
                <c:pt idx="47">
                  <c:v>1377.6260357129199</c:v>
                </c:pt>
                <c:pt idx="48">
                  <c:v>39003.316095412301</c:v>
                </c:pt>
                <c:pt idx="49">
                  <c:v>87925.094418839901</c:v>
                </c:pt>
                <c:pt idx="50">
                  <c:v>56033.573792064999</c:v>
                </c:pt>
                <c:pt idx="51">
                  <c:v>6947.3592868196602</c:v>
                </c:pt>
                <c:pt idx="52">
                  <c:v>22502.842993809401</c:v>
                </c:pt>
                <c:pt idx="53">
                  <c:v>44690.934539511698</c:v>
                </c:pt>
                <c:pt idx="54">
                  <c:v>18404.273087170401</c:v>
                </c:pt>
                <c:pt idx="55">
                  <c:v>13790.0243428344</c:v>
                </c:pt>
                <c:pt idx="56">
                  <c:v>12281.5058488303</c:v>
                </c:pt>
                <c:pt idx="57">
                  <c:v>14187.482725296501</c:v>
                </c:pt>
                <c:pt idx="58">
                  <c:v>13105.658567831901</c:v>
                </c:pt>
                <c:pt idx="59">
                  <c:v>7906.5850285799997</c:v>
                </c:pt>
                <c:pt idx="60">
                  <c:v>6609.8040815495697</c:v>
                </c:pt>
                <c:pt idx="61">
                  <c:v>24491.3771867262</c:v>
                </c:pt>
                <c:pt idx="62">
                  <c:v>3231.65724461936</c:v>
                </c:pt>
                <c:pt idx="63">
                  <c:v>1002.30913917142</c:v>
                </c:pt>
                <c:pt idx="64">
                  <c:v>6276.3511391995698</c:v>
                </c:pt>
                <c:pt idx="65">
                  <c:v>20765.350359310902</c:v>
                </c:pt>
                <c:pt idx="66">
                  <c:v>30133.304450454001</c:v>
                </c:pt>
                <c:pt idx="68">
                  <c:v>3804.8725797521001</c:v>
                </c:pt>
                <c:pt idx="69">
                  <c:v>7820.2324037507597</c:v>
                </c:pt>
                <c:pt idx="71">
                  <c:v>31591.177073296902</c:v>
                </c:pt>
                <c:pt idx="72">
                  <c:v>36551.41796875</c:v>
                </c:pt>
                <c:pt idx="73">
                  <c:v>2066.9497977695701</c:v>
                </c:pt>
                <c:pt idx="74">
                  <c:v>2429.7485345283799</c:v>
                </c:pt>
                <c:pt idx="75">
                  <c:v>6022.5425418935001</c:v>
                </c:pt>
                <c:pt idx="76">
                  <c:v>415.70741705908603</c:v>
                </c:pt>
                <c:pt idx="77">
                  <c:v>5069.703125</c:v>
                </c:pt>
                <c:pt idx="78">
                  <c:v>103887.800388081</c:v>
                </c:pt>
                <c:pt idx="80">
                  <c:v>33509.012798213902</c:v>
                </c:pt>
                <c:pt idx="81">
                  <c:v>82769.412211421601</c:v>
                </c:pt>
                <c:pt idx="82">
                  <c:v>3457.4569157045498</c:v>
                </c:pt>
                <c:pt idx="83">
                  <c:v>1233.1966620926901</c:v>
                </c:pt>
                <c:pt idx="84">
                  <c:v>55516.836477473997</c:v>
                </c:pt>
                <c:pt idx="85">
                  <c:v>27786.005782927601</c:v>
                </c:pt>
                <c:pt idx="86">
                  <c:v>5391.0692618133799</c:v>
                </c:pt>
                <c:pt idx="88">
                  <c:v>3827.9649563748899</c:v>
                </c:pt>
                <c:pt idx="90">
                  <c:v>2260.2874128942699</c:v>
                </c:pt>
                <c:pt idx="91">
                  <c:v>6729.4128681396896</c:v>
                </c:pt>
                <c:pt idx="92">
                  <c:v>4455.50540514568</c:v>
                </c:pt>
                <c:pt idx="93">
                  <c:v>10717.6276712204</c:v>
                </c:pt>
                <c:pt idx="94">
                  <c:v>888.157407724123</c:v>
                </c:pt>
                <c:pt idx="95">
                  <c:v>21865.4562838641</c:v>
                </c:pt>
                <c:pt idx="96">
                  <c:v>8575.1711344621308</c:v>
                </c:pt>
                <c:pt idx="97">
                  <c:v>32610.110922729</c:v>
                </c:pt>
                <c:pt idx="98">
                  <c:v>916.28297932862199</c:v>
                </c:pt>
                <c:pt idx="99">
                  <c:v>8638.6662020118692</c:v>
                </c:pt>
                <c:pt idx="100">
                  <c:v>15885.5391311331</c:v>
                </c:pt>
                <c:pt idx="102">
                  <c:v>5838.6310808390199</c:v>
                </c:pt>
                <c:pt idx="104">
                  <c:v>18686.405096126498</c:v>
                </c:pt>
                <c:pt idx="105">
                  <c:v>52925.689763842398</c:v>
                </c:pt>
                <c:pt idx="106">
                  <c:v>8624.2936094853103</c:v>
                </c:pt>
                <c:pt idx="107">
                  <c:v>3977.6951663964401</c:v>
                </c:pt>
                <c:pt idx="108">
                  <c:v>5762.8217461591803</c:v>
                </c:pt>
                <c:pt idx="109">
                  <c:v>22056.6661704127</c:v>
                </c:pt>
                <c:pt idx="110">
                  <c:v>2156.0340040332999</c:v>
                </c:pt>
                <c:pt idx="111">
                  <c:v>3654.3584553487799</c:v>
                </c:pt>
                <c:pt idx="112">
                  <c:v>4168.2852108734696</c:v>
                </c:pt>
              </c:numCache>
            </c:numRef>
          </c:xVal>
          <c:yVal>
            <c:numRef>
              <c:f>'Final dataset'!$BC$2:$BC$115</c:f>
              <c:numCache>
                <c:formatCode>0.00%</c:formatCode>
                <c:ptCount val="114"/>
                <c:pt idx="0">
                  <c:v>0.35192257848821012</c:v>
                </c:pt>
                <c:pt idx="2">
                  <c:v>0.36380261769549127</c:v>
                </c:pt>
                <c:pt idx="3">
                  <c:v>0.32117904644918832</c:v>
                </c:pt>
                <c:pt idx="5">
                  <c:v>0.38420171916551332</c:v>
                </c:pt>
                <c:pt idx="6">
                  <c:v>0.26662695513178725</c:v>
                </c:pt>
                <c:pt idx="7">
                  <c:v>0.42999219980364595</c:v>
                </c:pt>
                <c:pt idx="8">
                  <c:v>0.37390270092605998</c:v>
                </c:pt>
                <c:pt idx="9">
                  <c:v>0.38414165341968926</c:v>
                </c:pt>
                <c:pt idx="10">
                  <c:v>0.38004120850861312</c:v>
                </c:pt>
                <c:pt idx="11">
                  <c:v>0.42616177556152257</c:v>
                </c:pt>
                <c:pt idx="12">
                  <c:v>0.30992363989120947</c:v>
                </c:pt>
                <c:pt idx="13">
                  <c:v>0.41001925774691872</c:v>
                </c:pt>
                <c:pt idx="14">
                  <c:v>0.37922238392218893</c:v>
                </c:pt>
                <c:pt idx="15">
                  <c:v>0.25137109775566502</c:v>
                </c:pt>
                <c:pt idx="16">
                  <c:v>0.42938918679827043</c:v>
                </c:pt>
                <c:pt idx="17">
                  <c:v>0.42666663585833614</c:v>
                </c:pt>
                <c:pt idx="19">
                  <c:v>0.44526560579827462</c:v>
                </c:pt>
                <c:pt idx="20">
                  <c:v>0.1914197288262682</c:v>
                </c:pt>
                <c:pt idx="21">
                  <c:v>0.40262776952291668</c:v>
                </c:pt>
                <c:pt idx="22">
                  <c:v>0.33334552083341484</c:v>
                </c:pt>
                <c:pt idx="24">
                  <c:v>0.39972344580083458</c:v>
                </c:pt>
                <c:pt idx="25">
                  <c:v>0.37173068710896989</c:v>
                </c:pt>
                <c:pt idx="27">
                  <c:v>0.3215297832132995</c:v>
                </c:pt>
                <c:pt idx="28">
                  <c:v>0.36545054513327541</c:v>
                </c:pt>
                <c:pt idx="29">
                  <c:v>0.44264102756476353</c:v>
                </c:pt>
                <c:pt idx="30">
                  <c:v>0.43191527468033175</c:v>
                </c:pt>
                <c:pt idx="31">
                  <c:v>0.45879271358582707</c:v>
                </c:pt>
                <c:pt idx="32">
                  <c:v>0.38322087673592176</c:v>
                </c:pt>
                <c:pt idx="35">
                  <c:v>0.33934174259779604</c:v>
                </c:pt>
                <c:pt idx="36">
                  <c:v>0.42347816828672902</c:v>
                </c:pt>
                <c:pt idx="38">
                  <c:v>0.32120597995640471</c:v>
                </c:pt>
                <c:pt idx="39">
                  <c:v>0.38557424608848961</c:v>
                </c:pt>
                <c:pt idx="40">
                  <c:v>0.28286253279662121</c:v>
                </c:pt>
                <c:pt idx="41">
                  <c:v>0.26670095833606988</c:v>
                </c:pt>
                <c:pt idx="42">
                  <c:v>0.31929155290293404</c:v>
                </c:pt>
                <c:pt idx="43">
                  <c:v>0.40771129424442598</c:v>
                </c:pt>
                <c:pt idx="44">
                  <c:v>0.2236718703791134</c:v>
                </c:pt>
                <c:pt idx="45">
                  <c:v>0.3141677030111944</c:v>
                </c:pt>
                <c:pt idx="46">
                  <c:v>0.43313355814300114</c:v>
                </c:pt>
                <c:pt idx="47">
                  <c:v>0.32486915009026213</c:v>
                </c:pt>
                <c:pt idx="48">
                  <c:v>0.28151288500173266</c:v>
                </c:pt>
                <c:pt idx="49">
                  <c:v>0.52958476626526529</c:v>
                </c:pt>
                <c:pt idx="50">
                  <c:v>0.46811058824238244</c:v>
                </c:pt>
                <c:pt idx="51">
                  <c:v>0.32255003286584111</c:v>
                </c:pt>
                <c:pt idx="52">
                  <c:v>0.29896340271578009</c:v>
                </c:pt>
                <c:pt idx="53">
                  <c:v>0.33333476067003515</c:v>
                </c:pt>
                <c:pt idx="54">
                  <c:v>0.35233817117611316</c:v>
                </c:pt>
                <c:pt idx="55">
                  <c:v>0.50639741437440222</c:v>
                </c:pt>
                <c:pt idx="56">
                  <c:v>0.32250163552302058</c:v>
                </c:pt>
                <c:pt idx="57">
                  <c:v>0.37162560903024533</c:v>
                </c:pt>
                <c:pt idx="58">
                  <c:v>0.21986992701219391</c:v>
                </c:pt>
                <c:pt idx="59">
                  <c:v>0.41026820785693141</c:v>
                </c:pt>
                <c:pt idx="60">
                  <c:v>0.41772189129272852</c:v>
                </c:pt>
                <c:pt idx="61">
                  <c:v>0.24286905304076983</c:v>
                </c:pt>
                <c:pt idx="62">
                  <c:v>0.31928990616902564</c:v>
                </c:pt>
                <c:pt idx="63">
                  <c:v>0.46763232611231198</c:v>
                </c:pt>
                <c:pt idx="64">
                  <c:v>0.34396274294805379</c:v>
                </c:pt>
                <c:pt idx="65">
                  <c:v>0.35452556191705176</c:v>
                </c:pt>
                <c:pt idx="66">
                  <c:v>0.25804546018569363</c:v>
                </c:pt>
                <c:pt idx="68">
                  <c:v>0.55012025817774113</c:v>
                </c:pt>
                <c:pt idx="69">
                  <c:v>0.41224297552757677</c:v>
                </c:pt>
                <c:pt idx="71">
                  <c:v>0.19834916903399197</c:v>
                </c:pt>
                <c:pt idx="72">
                  <c:v>0.40958236774625356</c:v>
                </c:pt>
                <c:pt idx="73">
                  <c:v>0.42797474856377232</c:v>
                </c:pt>
                <c:pt idx="74">
                  <c:v>0.37842685146397076</c:v>
                </c:pt>
                <c:pt idx="75">
                  <c:v>0.4373962877059242</c:v>
                </c:pt>
                <c:pt idx="76">
                  <c:v>0.39241662471292516</c:v>
                </c:pt>
                <c:pt idx="77">
                  <c:v>0.29369564496831563</c:v>
                </c:pt>
                <c:pt idx="78">
                  <c:v>0.2670154140295275</c:v>
                </c:pt>
                <c:pt idx="80">
                  <c:v>0.25141333087716172</c:v>
                </c:pt>
                <c:pt idx="81">
                  <c:v>0.33064288023924276</c:v>
                </c:pt>
                <c:pt idx="82">
                  <c:v>0.15221478238078681</c:v>
                </c:pt>
                <c:pt idx="83">
                  <c:v>0.38332318271383731</c:v>
                </c:pt>
                <c:pt idx="84">
                  <c:v>0.4408152813094493</c:v>
                </c:pt>
                <c:pt idx="85">
                  <c:v>0.28066058281199341</c:v>
                </c:pt>
                <c:pt idx="86">
                  <c:v>0.36314216988312464</c:v>
                </c:pt>
                <c:pt idx="88">
                  <c:v>0.30465956921887338</c:v>
                </c:pt>
                <c:pt idx="90">
                  <c:v>0.38011859502031481</c:v>
                </c:pt>
                <c:pt idx="91">
                  <c:v>0.31075731794639422</c:v>
                </c:pt>
                <c:pt idx="92">
                  <c:v>0.3582646732749904</c:v>
                </c:pt>
                <c:pt idx="93">
                  <c:v>0.33066086904457909</c:v>
                </c:pt>
                <c:pt idx="94">
                  <c:v>0.35424796682226617</c:v>
                </c:pt>
                <c:pt idx="95">
                  <c:v>0.30908158981512202</c:v>
                </c:pt>
                <c:pt idx="96">
                  <c:v>0.37600866647902986</c:v>
                </c:pt>
                <c:pt idx="97">
                  <c:v>0.25736048025698299</c:v>
                </c:pt>
                <c:pt idx="98">
                  <c:v>0.35057491705460947</c:v>
                </c:pt>
                <c:pt idx="99">
                  <c:v>0.23665887480994438</c:v>
                </c:pt>
                <c:pt idx="100">
                  <c:v>0.25381324791380083</c:v>
                </c:pt>
                <c:pt idx="102">
                  <c:v>0.38695097455098987</c:v>
                </c:pt>
                <c:pt idx="104">
                  <c:v>0.38016612405785855</c:v>
                </c:pt>
                <c:pt idx="105">
                  <c:v>0.37652239484976219</c:v>
                </c:pt>
                <c:pt idx="106">
                  <c:v>0.29376065884623453</c:v>
                </c:pt>
                <c:pt idx="107">
                  <c:v>0.22915124231229744</c:v>
                </c:pt>
                <c:pt idx="108">
                  <c:v>0.39413117431458328</c:v>
                </c:pt>
                <c:pt idx="109">
                  <c:v>0.29227525518271502</c:v>
                </c:pt>
                <c:pt idx="110">
                  <c:v>0.42261112009666701</c:v>
                </c:pt>
                <c:pt idx="111">
                  <c:v>0.33930636115408563</c:v>
                </c:pt>
                <c:pt idx="112">
                  <c:v>0.37321150035359124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55-4F90-BFC5-EC602B307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157420"/>
        <c:axId val="867275323"/>
      </c:scatterChart>
      <c:valAx>
        <c:axId val="12011574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GDP per capita</a:t>
                </a:r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nl-BE"/>
          </a:p>
        </c:txPr>
        <c:crossAx val="867275323"/>
        <c:crosses val="autoZero"/>
        <c:crossBetween val="midCat"/>
      </c:valAx>
      <c:valAx>
        <c:axId val="867275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PPVEa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nl-BE"/>
          </a:p>
        </c:txPr>
        <c:crossAx val="120115742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nl-B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"Share of the Monetary value of total workers to GDP" against "GDP per capita"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'Final dataset'!$AZ$1</c:f>
              <c:strCache>
                <c:ptCount val="1"/>
                <c:pt idx="0">
                  <c:v>Share of the Monetary value of total workers to GDP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'Final dataset'!$AY$2:$AY$115</c:f>
              <c:numCache>
                <c:formatCode>General</c:formatCode>
                <c:ptCount val="114"/>
                <c:pt idx="0" formatCode="&quot;$&quot;#,##0">
                  <c:v>49463.855461734303</c:v>
                </c:pt>
                <c:pt idx="2" formatCode="&quot;$&quot;#,##0">
                  <c:v>11379.086100063199</c:v>
                </c:pt>
                <c:pt idx="3" formatCode="&quot;$&quot;#,##0">
                  <c:v>54343.226508495798</c:v>
                </c:pt>
                <c:pt idx="5" formatCode="&quot;$&quot;#,##0">
                  <c:v>128678.18994282599</c:v>
                </c:pt>
                <c:pt idx="6" formatCode="&quot;$&quot;#,##0">
                  <c:v>1706.4421802476199</c:v>
                </c:pt>
                <c:pt idx="7" formatCode="&quot;$&quot;#,##0">
                  <c:v>1952.3045792963601</c:v>
                </c:pt>
                <c:pt idx="8" formatCode="&quot;$&quot;#,##0">
                  <c:v>68453.876928114507</c:v>
                </c:pt>
                <c:pt idx="9" formatCode="&quot;$&quot;#,##0">
                  <c:v>4282.0885172450598</c:v>
                </c:pt>
                <c:pt idx="10" formatCode="&quot;$&quot;#,##0">
                  <c:v>99564.710026144996</c:v>
                </c:pt>
                <c:pt idx="11" formatCode="&quot;$&quot;#,##0">
                  <c:v>1365.27743222493</c:v>
                </c:pt>
                <c:pt idx="12" formatCode="&quot;$&quot;#,##0">
                  <c:v>7182.0252581241502</c:v>
                </c:pt>
                <c:pt idx="13" formatCode="&quot;$&quot;#,##0">
                  <c:v>771.88714208967701</c:v>
                </c:pt>
                <c:pt idx="14" formatCode="&quot;$&quot;#,##0">
                  <c:v>8053.0106631234503</c:v>
                </c:pt>
                <c:pt idx="15" formatCode="&quot;$&quot;#,##0">
                  <c:v>54700.9093236712</c:v>
                </c:pt>
                <c:pt idx="16" formatCode="&quot;$&quot;#,##0">
                  <c:v>1596.63696129001</c:v>
                </c:pt>
                <c:pt idx="17" formatCode="&quot;$&quot;#,##0">
                  <c:v>6839.7250388696802</c:v>
                </c:pt>
                <c:pt idx="19" formatCode="&quot;$&quot;#,##0">
                  <c:v>1330.7278057670901</c:v>
                </c:pt>
                <c:pt idx="20" formatCode="&quot;$&quot;#,##0">
                  <c:v>22141.866979927599</c:v>
                </c:pt>
                <c:pt idx="21" formatCode="&quot;$&quot;#,##0">
                  <c:v>16942.0268119375</c:v>
                </c:pt>
                <c:pt idx="22" formatCode="&quot;$&quot;#,##0">
                  <c:v>13817.0458984375</c:v>
                </c:pt>
                <c:pt idx="24" formatCode="&quot;$&quot;#,##0">
                  <c:v>23400.7278817691</c:v>
                </c:pt>
                <c:pt idx="25" formatCode="&quot;$&quot;#,##0">
                  <c:v>64572.005955885397</c:v>
                </c:pt>
                <c:pt idx="27" formatCode="&quot;$&quot;#,##0">
                  <c:v>53431.1857063879</c:v>
                </c:pt>
                <c:pt idx="28" formatCode="&quot;$&quot;#,##0">
                  <c:v>4876.3143270318797</c:v>
                </c:pt>
                <c:pt idx="29" formatCode="&quot;$&quot;#,##0">
                  <c:v>3686.27996490544</c:v>
                </c:pt>
                <c:pt idx="30" formatCode="&quot;$&quot;#,##0">
                  <c:v>17067.813615060099</c:v>
                </c:pt>
                <c:pt idx="31" formatCode="&quot;$&quot;#,##0">
                  <c:v>2480.7920872162099</c:v>
                </c:pt>
                <c:pt idx="32" formatCode="&quot;$&quot;#,##0">
                  <c:v>1394.37330217623</c:v>
                </c:pt>
                <c:pt idx="35" formatCode="&quot;$&quot;#,##0">
                  <c:v>2551.0177267414201</c:v>
                </c:pt>
                <c:pt idx="36" formatCode="&quot;$&quot;#,##0">
                  <c:v>1010.2689290183999</c:v>
                </c:pt>
                <c:pt idx="38" formatCode="&quot;$&quot;#,##0">
                  <c:v>33121.371288550799</c:v>
                </c:pt>
                <c:pt idx="39" formatCode="&quot;$&quot;#,##0">
                  <c:v>11613.044158758799</c:v>
                </c:pt>
                <c:pt idx="40" formatCode="&quot;$&quot;#,##0">
                  <c:v>10294.866680777999</c:v>
                </c:pt>
                <c:pt idx="41" formatCode="&quot;$&quot;#,##0">
                  <c:v>27331.209494525501</c:v>
                </c:pt>
                <c:pt idx="42" formatCode="&quot;$&quot;#,##0">
                  <c:v>2849.5146107191099</c:v>
                </c:pt>
                <c:pt idx="43" formatCode="&quot;$&quot;#,##0">
                  <c:v>2530.8465930172301</c:v>
                </c:pt>
                <c:pt idx="44" formatCode="&quot;$&quot;#,##0">
                  <c:v>52642.426748630802</c:v>
                </c:pt>
                <c:pt idx="45" formatCode="&quot;$&quot;#,##0">
                  <c:v>2120.8232035895298</c:v>
                </c:pt>
                <c:pt idx="46" formatCode="&quot;$&quot;#,##0">
                  <c:v>869.27023428699204</c:v>
                </c:pt>
                <c:pt idx="47" formatCode="&quot;$&quot;#,##0">
                  <c:v>1377.6260357129199</c:v>
                </c:pt>
                <c:pt idx="48" formatCode="&quot;$&quot;#,##0">
                  <c:v>39003.316095412301</c:v>
                </c:pt>
                <c:pt idx="49" formatCode="&quot;$&quot;#,##0">
                  <c:v>87925.094418839901</c:v>
                </c:pt>
                <c:pt idx="50" formatCode="&quot;$&quot;#,##0">
                  <c:v>56033.573792064999</c:v>
                </c:pt>
                <c:pt idx="51" formatCode="&quot;$&quot;#,##0">
                  <c:v>6947.3592868196602</c:v>
                </c:pt>
                <c:pt idx="52" formatCode="&quot;$&quot;#,##0">
                  <c:v>22502.842993809401</c:v>
                </c:pt>
                <c:pt idx="53" formatCode="&quot;$&quot;#,##0">
                  <c:v>44690.934539511698</c:v>
                </c:pt>
                <c:pt idx="54" formatCode="&quot;$&quot;#,##0">
                  <c:v>18404.273087170401</c:v>
                </c:pt>
                <c:pt idx="55" formatCode="&quot;$&quot;#,##0">
                  <c:v>13790.0243428344</c:v>
                </c:pt>
                <c:pt idx="56" formatCode="&quot;$&quot;#,##0">
                  <c:v>12281.5058488303</c:v>
                </c:pt>
                <c:pt idx="57" formatCode="&quot;$&quot;#,##0">
                  <c:v>14187.482725296501</c:v>
                </c:pt>
                <c:pt idx="58" formatCode="&quot;$&quot;#,##0">
                  <c:v>13105.658567831901</c:v>
                </c:pt>
                <c:pt idx="59" formatCode="&quot;$&quot;#,##0">
                  <c:v>7906.5850285799997</c:v>
                </c:pt>
                <c:pt idx="60" formatCode="&quot;$&quot;#,##0">
                  <c:v>6609.8040815495697</c:v>
                </c:pt>
                <c:pt idx="61" formatCode="&quot;$&quot;#,##0">
                  <c:v>24491.3771867262</c:v>
                </c:pt>
                <c:pt idx="62" formatCode="&quot;$&quot;#,##0">
                  <c:v>3231.65724461936</c:v>
                </c:pt>
                <c:pt idx="63" formatCode="&quot;$&quot;#,##0">
                  <c:v>1002.30913917142</c:v>
                </c:pt>
                <c:pt idx="64" formatCode="&quot;$&quot;#,##0">
                  <c:v>6276.3511391995698</c:v>
                </c:pt>
                <c:pt idx="65" formatCode="&quot;$&quot;#,##0">
                  <c:v>20765.350359310902</c:v>
                </c:pt>
                <c:pt idx="66" formatCode="&quot;$&quot;#,##0">
                  <c:v>30133.304450454001</c:v>
                </c:pt>
                <c:pt idx="68" formatCode="&quot;$&quot;#,##0">
                  <c:v>3804.8725797521001</c:v>
                </c:pt>
                <c:pt idx="69" formatCode="&quot;$&quot;#,##0">
                  <c:v>7820.2324037507597</c:v>
                </c:pt>
                <c:pt idx="71" formatCode="&quot;$&quot;#,##0">
                  <c:v>31591.177073296902</c:v>
                </c:pt>
                <c:pt idx="72" formatCode="&quot;$&quot;#,##0">
                  <c:v>36551.41796875</c:v>
                </c:pt>
                <c:pt idx="73" formatCode="&quot;$&quot;#,##0">
                  <c:v>2066.9497977695701</c:v>
                </c:pt>
                <c:pt idx="74" formatCode="&quot;$&quot;#,##0">
                  <c:v>2429.7485345283799</c:v>
                </c:pt>
                <c:pt idx="75" formatCode="&quot;$&quot;#,##0">
                  <c:v>6022.5425418935001</c:v>
                </c:pt>
                <c:pt idx="76" formatCode="&quot;$&quot;#,##0">
                  <c:v>415.70741705908603</c:v>
                </c:pt>
                <c:pt idx="77" formatCode="&quot;$&quot;#,##0">
                  <c:v>5069.703125</c:v>
                </c:pt>
                <c:pt idx="78" formatCode="&quot;$&quot;#,##0">
                  <c:v>103887.800388081</c:v>
                </c:pt>
                <c:pt idx="80" formatCode="&quot;$&quot;#,##0">
                  <c:v>33509.012798213902</c:v>
                </c:pt>
                <c:pt idx="81" formatCode="&quot;$&quot;#,##0">
                  <c:v>82769.412211421601</c:v>
                </c:pt>
                <c:pt idx="82" formatCode="&quot;$&quot;#,##0">
                  <c:v>3457.4569157045498</c:v>
                </c:pt>
                <c:pt idx="83" formatCode="&quot;$&quot;#,##0">
                  <c:v>1233.1966620926901</c:v>
                </c:pt>
                <c:pt idx="84" formatCode="&quot;$&quot;#,##0">
                  <c:v>55516.836477473997</c:v>
                </c:pt>
                <c:pt idx="85" formatCode="&quot;$&quot;#,##0">
                  <c:v>27786.005782927601</c:v>
                </c:pt>
                <c:pt idx="86" formatCode="&quot;$&quot;#,##0">
                  <c:v>5391.0692618133799</c:v>
                </c:pt>
                <c:pt idx="90" formatCode="&quot;$&quot;#,##0">
                  <c:v>2260.2874128942699</c:v>
                </c:pt>
                <c:pt idx="91" formatCode="&quot;$&quot;#,##0">
                  <c:v>6729.4128681396896</c:v>
                </c:pt>
                <c:pt idx="92" formatCode="&quot;$&quot;#,##0">
                  <c:v>4455.50540514568</c:v>
                </c:pt>
                <c:pt idx="93" formatCode="&quot;$&quot;#,##0">
                  <c:v>10717.6276712204</c:v>
                </c:pt>
                <c:pt idx="94" formatCode="&quot;$&quot;#,##0">
                  <c:v>888.157407724123</c:v>
                </c:pt>
                <c:pt idx="95" formatCode="&quot;$&quot;#,##0">
                  <c:v>21865.4562838641</c:v>
                </c:pt>
                <c:pt idx="96" formatCode="&quot;$&quot;#,##0">
                  <c:v>8575.1711344621308</c:v>
                </c:pt>
                <c:pt idx="97" formatCode="&quot;$&quot;#,##0">
                  <c:v>32610.110922729</c:v>
                </c:pt>
                <c:pt idx="98" formatCode="&quot;$&quot;#,##0">
                  <c:v>916.28297932862199</c:v>
                </c:pt>
                <c:pt idx="99" formatCode="&quot;$&quot;#,##0">
                  <c:v>8638.6662020118692</c:v>
                </c:pt>
                <c:pt idx="100" formatCode="&quot;$&quot;#,##0">
                  <c:v>15885.5391311331</c:v>
                </c:pt>
                <c:pt idx="102" formatCode="&quot;$&quot;#,##0">
                  <c:v>5838.6310808390199</c:v>
                </c:pt>
                <c:pt idx="104" formatCode="&quot;$&quot;#,##0">
                  <c:v>18686.405096126498</c:v>
                </c:pt>
                <c:pt idx="105" formatCode="&quot;$&quot;#,##0">
                  <c:v>52925.689763842398</c:v>
                </c:pt>
                <c:pt idx="106" formatCode="&quot;$&quot;#,##0">
                  <c:v>8624.2936094853103</c:v>
                </c:pt>
                <c:pt idx="107" formatCode="&quot;$&quot;#,##0">
                  <c:v>3977.6951663964401</c:v>
                </c:pt>
                <c:pt idx="108" formatCode="&quot;$&quot;#,##0">
                  <c:v>5762.8217461591803</c:v>
                </c:pt>
                <c:pt idx="109" formatCode="&quot;$&quot;#,##0">
                  <c:v>22056.6661704127</c:v>
                </c:pt>
                <c:pt idx="110" formatCode="&quot;$&quot;#,##0">
                  <c:v>2156.0340040332999</c:v>
                </c:pt>
                <c:pt idx="111" formatCode="&quot;$&quot;#,##0">
                  <c:v>3654.3584553487799</c:v>
                </c:pt>
                <c:pt idx="112" formatCode="&quot;$&quot;#,##0">
                  <c:v>4168.2852108734696</c:v>
                </c:pt>
              </c:numCache>
            </c:numRef>
          </c:xVal>
          <c:yVal>
            <c:numRef>
              <c:f>'Final dataset'!$AZ$2:$AZ$115</c:f>
              <c:numCache>
                <c:formatCode>0.00%</c:formatCode>
                <c:ptCount val="114"/>
                <c:pt idx="0">
                  <c:v>9.5653896727593724E-2</c:v>
                </c:pt>
                <c:pt idx="2">
                  <c:v>1.858999220494386E-2</c:v>
                </c:pt>
                <c:pt idx="3">
                  <c:v>7.9324230231914941E-2</c:v>
                </c:pt>
                <c:pt idx="5">
                  <c:v>7.0315211845833892E-2</c:v>
                </c:pt>
                <c:pt idx="6">
                  <c:v>2.5951365836256082E-2</c:v>
                </c:pt>
                <c:pt idx="7">
                  <c:v>2.2889146733797099E-2</c:v>
                </c:pt>
                <c:pt idx="8">
                  <c:v>0.11448272542113289</c:v>
                </c:pt>
                <c:pt idx="9">
                  <c:v>2.4931803143489223E-2</c:v>
                </c:pt>
                <c:pt idx="10">
                  <c:v>9.0223371702853411E-2</c:v>
                </c:pt>
                <c:pt idx="11">
                  <c:v>1.4960998395151586E-2</c:v>
                </c:pt>
                <c:pt idx="12">
                  <c:v>1.6588770224750318E-2</c:v>
                </c:pt>
                <c:pt idx="13">
                  <c:v>0.10119256908784519</c:v>
                </c:pt>
                <c:pt idx="14">
                  <c:v>9.0927059385621928E-3</c:v>
                </c:pt>
                <c:pt idx="15">
                  <c:v>0.10621098403800211</c:v>
                </c:pt>
                <c:pt idx="16">
                  <c:v>6.4053730431348016E-2</c:v>
                </c:pt>
                <c:pt idx="17">
                  <c:v>2.8421399004081683E-2</c:v>
                </c:pt>
                <c:pt idx="19">
                  <c:v>3.8800968784005477E-2</c:v>
                </c:pt>
                <c:pt idx="20">
                  <c:v>2.7612648257245843E-2</c:v>
                </c:pt>
                <c:pt idx="21">
                  <c:v>3.1795801002348988E-2</c:v>
                </c:pt>
                <c:pt idx="22">
                  <c:v>1.7103411439007898E-2</c:v>
                </c:pt>
                <c:pt idx="24">
                  <c:v>5.5755710025425113E-2</c:v>
                </c:pt>
                <c:pt idx="25">
                  <c:v>9.5175761680595133E-2</c:v>
                </c:pt>
                <c:pt idx="27">
                  <c:v>0.11759822655925084</c:v>
                </c:pt>
                <c:pt idx="28">
                  <c:v>9.1976236532230696E-3</c:v>
                </c:pt>
                <c:pt idx="29">
                  <c:v>4.5197614327261146E-2</c:v>
                </c:pt>
                <c:pt idx="30">
                  <c:v>3.6510747737659631E-2</c:v>
                </c:pt>
                <c:pt idx="31">
                  <c:v>1.977999289090869E-2</c:v>
                </c:pt>
                <c:pt idx="32">
                  <c:v>4.5141417743090537E-2</c:v>
                </c:pt>
                <c:pt idx="35">
                  <c:v>1.1304641685011628E-2</c:v>
                </c:pt>
                <c:pt idx="36">
                  <c:v>2.107591622824305E-2</c:v>
                </c:pt>
                <c:pt idx="38">
                  <c:v>6.1306071603826909E-2</c:v>
                </c:pt>
                <c:pt idx="39">
                  <c:v>3.0179514723468082E-2</c:v>
                </c:pt>
                <c:pt idx="40">
                  <c:v>2.6667627130789247E-2</c:v>
                </c:pt>
                <c:pt idx="41">
                  <c:v>3.5281088082788604E-2</c:v>
                </c:pt>
                <c:pt idx="42">
                  <c:v>7.5720027726892083E-2</c:v>
                </c:pt>
                <c:pt idx="43">
                  <c:v>3.9501588984536873E-2</c:v>
                </c:pt>
                <c:pt idx="44">
                  <c:v>7.7848346256318021E-2</c:v>
                </c:pt>
                <c:pt idx="45">
                  <c:v>9.4337673674950315E-2</c:v>
                </c:pt>
                <c:pt idx="46">
                  <c:v>5.2381858200904449E-2</c:v>
                </c:pt>
                <c:pt idx="47">
                  <c:v>3.3194309025507636E-2</c:v>
                </c:pt>
                <c:pt idx="48">
                  <c:v>5.8425224293235087E-2</c:v>
                </c:pt>
                <c:pt idx="49">
                  <c:v>7.9110732888968693E-2</c:v>
                </c:pt>
                <c:pt idx="50">
                  <c:v>8.541030818963706E-2</c:v>
                </c:pt>
                <c:pt idx="51">
                  <c:v>2.1753404468709006E-2</c:v>
                </c:pt>
                <c:pt idx="52">
                  <c:v>2.9167674730612103E-2</c:v>
                </c:pt>
                <c:pt idx="53">
                  <c:v>7.7836738022083046E-2</c:v>
                </c:pt>
                <c:pt idx="54">
                  <c:v>1.4504458911401737E-2</c:v>
                </c:pt>
                <c:pt idx="55">
                  <c:v>9.5933765373390177E-3</c:v>
                </c:pt>
                <c:pt idx="56">
                  <c:v>2.168749553340896E-2</c:v>
                </c:pt>
                <c:pt idx="57">
                  <c:v>4.0966044320995154E-2</c:v>
                </c:pt>
                <c:pt idx="58">
                  <c:v>1.2899879807565046E-2</c:v>
                </c:pt>
                <c:pt idx="59">
                  <c:v>1.6959491818961323E-2</c:v>
                </c:pt>
                <c:pt idx="60">
                  <c:v>1.7076946270334892E-2</c:v>
                </c:pt>
                <c:pt idx="61">
                  <c:v>2.3940743962821833E-2</c:v>
                </c:pt>
                <c:pt idx="62">
                  <c:v>4.4089678103348448E-2</c:v>
                </c:pt>
                <c:pt idx="63">
                  <c:v>5.3829774070893885E-2</c:v>
                </c:pt>
                <c:pt idx="64">
                  <c:v>2.2917579969727379E-2</c:v>
                </c:pt>
                <c:pt idx="65">
                  <c:v>7.4420828851001364E-3</c:v>
                </c:pt>
                <c:pt idx="66">
                  <c:v>2.8753843250756847E-2</c:v>
                </c:pt>
                <c:pt idx="68">
                  <c:v>2.2360289149478518E-2</c:v>
                </c:pt>
                <c:pt idx="69">
                  <c:v>5.0309677065776034E-2</c:v>
                </c:pt>
                <c:pt idx="71">
                  <c:v>2.1900199189397878E-2</c:v>
                </c:pt>
                <c:pt idx="72">
                  <c:v>0.10899171498040691</c:v>
                </c:pt>
                <c:pt idx="73">
                  <c:v>4.9123810691542216E-2</c:v>
                </c:pt>
                <c:pt idx="74">
                  <c:v>2.2535516057036395E-2</c:v>
                </c:pt>
                <c:pt idx="75">
                  <c:v>3.5347964902475409E-2</c:v>
                </c:pt>
                <c:pt idx="76">
                  <c:v>0.14016119990250905</c:v>
                </c:pt>
                <c:pt idx="77">
                  <c:v>1.4307480690734467E-2</c:v>
                </c:pt>
                <c:pt idx="78">
                  <c:v>4.4599882031385499E-2</c:v>
                </c:pt>
                <c:pt idx="80">
                  <c:v>0.10268937669118633</c:v>
                </c:pt>
                <c:pt idx="81">
                  <c:v>9.9483283342037321E-2</c:v>
                </c:pt>
                <c:pt idx="82">
                  <c:v>1.2289593533386472E-2</c:v>
                </c:pt>
                <c:pt idx="83">
                  <c:v>4.8117118617079478E-2</c:v>
                </c:pt>
                <c:pt idx="84">
                  <c:v>9.9553378611506621E-2</c:v>
                </c:pt>
                <c:pt idx="85">
                  <c:v>1.2895809389306906E-2</c:v>
                </c:pt>
                <c:pt idx="86">
                  <c:v>0.12584370612296508</c:v>
                </c:pt>
                <c:pt idx="88">
                  <c:v>1.0854510100210567E-2</c:v>
                </c:pt>
                <c:pt idx="90">
                  <c:v>3.779923910010146E-2</c:v>
                </c:pt>
                <c:pt idx="91">
                  <c:v>2.1042090750440424E-2</c:v>
                </c:pt>
                <c:pt idx="92">
                  <c:v>6.7019913489622815E-2</c:v>
                </c:pt>
                <c:pt idx="93">
                  <c:v>2.7005975719799645E-2</c:v>
                </c:pt>
                <c:pt idx="94">
                  <c:v>4.1638639513545586E-2</c:v>
                </c:pt>
                <c:pt idx="95">
                  <c:v>3.1502816762991916E-2</c:v>
                </c:pt>
                <c:pt idx="96">
                  <c:v>1.5944780905837813E-2</c:v>
                </c:pt>
                <c:pt idx="97">
                  <c:v>4.3156415051037636E-2</c:v>
                </c:pt>
                <c:pt idx="98">
                  <c:v>7.9872660807954549E-2</c:v>
                </c:pt>
                <c:pt idx="99">
                  <c:v>3.1581322541192537E-2</c:v>
                </c:pt>
                <c:pt idx="100">
                  <c:v>1.1192793030384377E-2</c:v>
                </c:pt>
                <c:pt idx="102">
                  <c:v>2.4730562292078991E-2</c:v>
                </c:pt>
                <c:pt idx="104">
                  <c:v>2.379977037136893E-2</c:v>
                </c:pt>
                <c:pt idx="105">
                  <c:v>7.8653258750136595E-2</c:v>
                </c:pt>
                <c:pt idx="106">
                  <c:v>2.8445014898862721E-2</c:v>
                </c:pt>
                <c:pt idx="107">
                  <c:v>2.30886294997527E-2</c:v>
                </c:pt>
                <c:pt idx="108">
                  <c:v>1.5706812647364642E-2</c:v>
                </c:pt>
                <c:pt idx="109">
                  <c:v>2.0830420377976187E-2</c:v>
                </c:pt>
                <c:pt idx="110">
                  <c:v>1.888499651333745E-2</c:v>
                </c:pt>
                <c:pt idx="111">
                  <c:v>0.1407741927620775</c:v>
                </c:pt>
                <c:pt idx="112">
                  <c:v>6.541530246641318E-2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5B-4B9F-AA24-EACB0E927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9275574"/>
        <c:axId val="968762983"/>
      </c:scatterChart>
      <c:valAx>
        <c:axId val="14492755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GDP per capita</a:t>
                </a:r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nl-BE"/>
          </a:p>
        </c:txPr>
        <c:crossAx val="968762983"/>
        <c:crosses val="autoZero"/>
        <c:crossBetween val="midCat"/>
      </c:valAx>
      <c:valAx>
        <c:axId val="968762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Share of the Monetary value of total workers to GDP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nl-BE"/>
          </a:p>
        </c:txPr>
        <c:crossAx val="144927557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nl-B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„Number of volunteer hours per inhabitant“ oproti „GDP per capita“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'Final dataset'!$BF$1</c:f>
              <c:strCache>
                <c:ptCount val="1"/>
                <c:pt idx="0">
                  <c:v>Number of volunteer hours per inhabitant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'Final dataset'!$BE$2:$BE$115</c:f>
              <c:numCache>
                <c:formatCode>"$"#,##0</c:formatCode>
                <c:ptCount val="114"/>
                <c:pt idx="0">
                  <c:v>49463.855461734303</c:v>
                </c:pt>
                <c:pt idx="2">
                  <c:v>11379.086100063199</c:v>
                </c:pt>
                <c:pt idx="3">
                  <c:v>54343.226508495798</c:v>
                </c:pt>
                <c:pt idx="5">
                  <c:v>128678.18994282599</c:v>
                </c:pt>
                <c:pt idx="6">
                  <c:v>1706.4421802476199</c:v>
                </c:pt>
                <c:pt idx="7">
                  <c:v>1952.3045792963601</c:v>
                </c:pt>
                <c:pt idx="8">
                  <c:v>68453.876928114507</c:v>
                </c:pt>
                <c:pt idx="9">
                  <c:v>4282.0885172450598</c:v>
                </c:pt>
                <c:pt idx="10">
                  <c:v>99564.710026144996</c:v>
                </c:pt>
                <c:pt idx="11">
                  <c:v>1365.27743222493</c:v>
                </c:pt>
                <c:pt idx="12">
                  <c:v>7182.0252581241502</c:v>
                </c:pt>
                <c:pt idx="13">
                  <c:v>771.88714208967701</c:v>
                </c:pt>
                <c:pt idx="14">
                  <c:v>8053.0106631234503</c:v>
                </c:pt>
                <c:pt idx="15">
                  <c:v>54700.9093236712</c:v>
                </c:pt>
                <c:pt idx="16">
                  <c:v>1596.63696129001</c:v>
                </c:pt>
                <c:pt idx="17">
                  <c:v>6839.7250388696802</c:v>
                </c:pt>
                <c:pt idx="19">
                  <c:v>1330.7278057670901</c:v>
                </c:pt>
                <c:pt idx="20">
                  <c:v>22141.866979927599</c:v>
                </c:pt>
                <c:pt idx="21">
                  <c:v>16942.0268119375</c:v>
                </c:pt>
                <c:pt idx="22">
                  <c:v>13817.0458984375</c:v>
                </c:pt>
                <c:pt idx="24">
                  <c:v>23400.7278817691</c:v>
                </c:pt>
                <c:pt idx="25">
                  <c:v>64572.005955885397</c:v>
                </c:pt>
                <c:pt idx="27">
                  <c:v>53431.1857063879</c:v>
                </c:pt>
                <c:pt idx="28">
                  <c:v>4876.3143270318797</c:v>
                </c:pt>
                <c:pt idx="29">
                  <c:v>3686.27996490544</c:v>
                </c:pt>
                <c:pt idx="30">
                  <c:v>17067.813615060099</c:v>
                </c:pt>
                <c:pt idx="31">
                  <c:v>2480.7920872162099</c:v>
                </c:pt>
                <c:pt idx="32">
                  <c:v>1394.37330217623</c:v>
                </c:pt>
                <c:pt idx="35">
                  <c:v>2551.0177267414201</c:v>
                </c:pt>
                <c:pt idx="36">
                  <c:v>1010.2689290183999</c:v>
                </c:pt>
                <c:pt idx="38">
                  <c:v>33121.371288550799</c:v>
                </c:pt>
                <c:pt idx="39">
                  <c:v>11613.044158758799</c:v>
                </c:pt>
                <c:pt idx="40">
                  <c:v>10294.866680777999</c:v>
                </c:pt>
                <c:pt idx="41">
                  <c:v>27331.209494525501</c:v>
                </c:pt>
                <c:pt idx="42">
                  <c:v>2849.5146107191099</c:v>
                </c:pt>
                <c:pt idx="43">
                  <c:v>2530.8465930172301</c:v>
                </c:pt>
                <c:pt idx="44">
                  <c:v>52642.426748630802</c:v>
                </c:pt>
                <c:pt idx="45">
                  <c:v>2120.8232035895298</c:v>
                </c:pt>
                <c:pt idx="46">
                  <c:v>869.27023428699204</c:v>
                </c:pt>
                <c:pt idx="47">
                  <c:v>1377.6260357129199</c:v>
                </c:pt>
                <c:pt idx="48">
                  <c:v>39003.316095412301</c:v>
                </c:pt>
                <c:pt idx="49">
                  <c:v>87925.094418839901</c:v>
                </c:pt>
                <c:pt idx="50">
                  <c:v>56033.573792064999</c:v>
                </c:pt>
                <c:pt idx="51">
                  <c:v>6947.3592868196602</c:v>
                </c:pt>
                <c:pt idx="52">
                  <c:v>22502.842993809401</c:v>
                </c:pt>
                <c:pt idx="53">
                  <c:v>44690.934539511698</c:v>
                </c:pt>
                <c:pt idx="54">
                  <c:v>18404.273087170401</c:v>
                </c:pt>
                <c:pt idx="55">
                  <c:v>13790.0243428344</c:v>
                </c:pt>
                <c:pt idx="56">
                  <c:v>12281.5058488303</c:v>
                </c:pt>
                <c:pt idx="57">
                  <c:v>14187.482725296501</c:v>
                </c:pt>
                <c:pt idx="58">
                  <c:v>13105.658567831901</c:v>
                </c:pt>
                <c:pt idx="59">
                  <c:v>7906.5850285799997</c:v>
                </c:pt>
                <c:pt idx="60">
                  <c:v>6609.8040815495697</c:v>
                </c:pt>
                <c:pt idx="61">
                  <c:v>24491.3771867262</c:v>
                </c:pt>
                <c:pt idx="62">
                  <c:v>3231.65724461936</c:v>
                </c:pt>
                <c:pt idx="63">
                  <c:v>1002.30913917142</c:v>
                </c:pt>
                <c:pt idx="64">
                  <c:v>6276.3511391995698</c:v>
                </c:pt>
                <c:pt idx="65">
                  <c:v>20765.350359310902</c:v>
                </c:pt>
                <c:pt idx="66">
                  <c:v>30133.304450454001</c:v>
                </c:pt>
                <c:pt idx="68">
                  <c:v>3804.8725797521001</c:v>
                </c:pt>
                <c:pt idx="69">
                  <c:v>7820.2324037507597</c:v>
                </c:pt>
                <c:pt idx="71">
                  <c:v>31591.177073296902</c:v>
                </c:pt>
                <c:pt idx="72">
                  <c:v>36551.41796875</c:v>
                </c:pt>
                <c:pt idx="73">
                  <c:v>2066.9497977695701</c:v>
                </c:pt>
                <c:pt idx="74">
                  <c:v>2429.7485345283799</c:v>
                </c:pt>
                <c:pt idx="75">
                  <c:v>6022.5425418935001</c:v>
                </c:pt>
                <c:pt idx="76">
                  <c:v>415.70741705908603</c:v>
                </c:pt>
                <c:pt idx="77">
                  <c:v>5069.703125</c:v>
                </c:pt>
                <c:pt idx="78">
                  <c:v>103887.800388081</c:v>
                </c:pt>
                <c:pt idx="80">
                  <c:v>33509.012798213902</c:v>
                </c:pt>
                <c:pt idx="81">
                  <c:v>82769.412211421601</c:v>
                </c:pt>
                <c:pt idx="82">
                  <c:v>3457.4569157045498</c:v>
                </c:pt>
                <c:pt idx="83">
                  <c:v>1233.1966620926901</c:v>
                </c:pt>
                <c:pt idx="84">
                  <c:v>55516.836477473997</c:v>
                </c:pt>
                <c:pt idx="85">
                  <c:v>27786.005782927601</c:v>
                </c:pt>
                <c:pt idx="86">
                  <c:v>5391.0692618133799</c:v>
                </c:pt>
                <c:pt idx="88">
                  <c:v>3827.9649563748899</c:v>
                </c:pt>
                <c:pt idx="90">
                  <c:v>2260.2874128942699</c:v>
                </c:pt>
                <c:pt idx="91">
                  <c:v>6729.4128681396896</c:v>
                </c:pt>
                <c:pt idx="92">
                  <c:v>4455.50540514568</c:v>
                </c:pt>
                <c:pt idx="93">
                  <c:v>10717.6276712204</c:v>
                </c:pt>
                <c:pt idx="94">
                  <c:v>888.157407724123</c:v>
                </c:pt>
                <c:pt idx="95">
                  <c:v>21865.4562838641</c:v>
                </c:pt>
                <c:pt idx="96">
                  <c:v>8575.1711344621308</c:v>
                </c:pt>
                <c:pt idx="97">
                  <c:v>32610.110922729</c:v>
                </c:pt>
                <c:pt idx="98">
                  <c:v>916.28297932862199</c:v>
                </c:pt>
                <c:pt idx="99">
                  <c:v>8638.6662020118692</c:v>
                </c:pt>
                <c:pt idx="100">
                  <c:v>15885.5391311331</c:v>
                </c:pt>
                <c:pt idx="102">
                  <c:v>5838.6310808390199</c:v>
                </c:pt>
                <c:pt idx="104">
                  <c:v>18686.405096126498</c:v>
                </c:pt>
                <c:pt idx="105">
                  <c:v>52925.689763842398</c:v>
                </c:pt>
                <c:pt idx="106">
                  <c:v>8624.2936094853103</c:v>
                </c:pt>
                <c:pt idx="107">
                  <c:v>3977.6951663964401</c:v>
                </c:pt>
                <c:pt idx="108">
                  <c:v>5762.8217461591803</c:v>
                </c:pt>
                <c:pt idx="109">
                  <c:v>22056.6661704127</c:v>
                </c:pt>
                <c:pt idx="110">
                  <c:v>2156.0340040332999</c:v>
                </c:pt>
                <c:pt idx="111">
                  <c:v>3654.3584553487799</c:v>
                </c:pt>
                <c:pt idx="112">
                  <c:v>4168.2852108734696</c:v>
                </c:pt>
              </c:numCache>
            </c:numRef>
          </c:xVal>
          <c:yVal>
            <c:numRef>
              <c:f>'Final dataset'!$BF$2:$BF$115</c:f>
              <c:numCache>
                <c:formatCode>#,##0.00</c:formatCode>
                <c:ptCount val="114"/>
                <c:pt idx="0">
                  <c:v>78.217314487905242</c:v>
                </c:pt>
                <c:pt idx="2">
                  <c:v>20.252041759692098</c:v>
                </c:pt>
                <c:pt idx="3">
                  <c:v>59.677484133199314</c:v>
                </c:pt>
                <c:pt idx="5">
                  <c:v>117.83967082171201</c:v>
                </c:pt>
                <c:pt idx="6">
                  <c:v>14.452194378371788</c:v>
                </c:pt>
                <c:pt idx="7">
                  <c:v>19.587037114397187</c:v>
                </c:pt>
                <c:pt idx="8">
                  <c:v>79.841841966882811</c:v>
                </c:pt>
                <c:pt idx="9">
                  <c:v>23.328233856889156</c:v>
                </c:pt>
                <c:pt idx="10">
                  <c:v>68.548770923647879</c:v>
                </c:pt>
                <c:pt idx="11">
                  <c:v>11.763166963360721</c:v>
                </c:pt>
                <c:pt idx="12">
                  <c:v>13.777836595889282</c:v>
                </c:pt>
                <c:pt idx="13">
                  <c:v>29.114812562857921</c:v>
                </c:pt>
                <c:pt idx="14">
                  <c:v>22.612418648789571</c:v>
                </c:pt>
                <c:pt idx="15">
                  <c:v>62.145753480414136</c:v>
                </c:pt>
                <c:pt idx="16">
                  <c:v>21.112437407355451</c:v>
                </c:pt>
                <c:pt idx="17">
                  <c:v>43.3342061433694</c:v>
                </c:pt>
                <c:pt idx="19">
                  <c:v>25.071574860837124</c:v>
                </c:pt>
                <c:pt idx="20">
                  <c:v>13.608508956297177</c:v>
                </c:pt>
                <c:pt idx="21">
                  <c:v>44.535865725607486</c:v>
                </c:pt>
                <c:pt idx="22">
                  <c:v>17.419617559339947</c:v>
                </c:pt>
                <c:pt idx="24">
                  <c:v>76.526610756884153</c:v>
                </c:pt>
                <c:pt idx="25">
                  <c:v>107.25546998753779</c:v>
                </c:pt>
                <c:pt idx="27">
                  <c:v>75.539514581886337</c:v>
                </c:pt>
                <c:pt idx="28">
                  <c:v>15.289777177633788</c:v>
                </c:pt>
                <c:pt idx="29">
                  <c:v>21.761254314297219</c:v>
                </c:pt>
                <c:pt idx="30">
                  <c:v>43.022975385715974</c:v>
                </c:pt>
                <c:pt idx="31">
                  <c:v>22.740385177773501</c:v>
                </c:pt>
                <c:pt idx="32">
                  <c:v>20.219153529419334</c:v>
                </c:pt>
                <c:pt idx="35">
                  <c:v>13.841659125240042</c:v>
                </c:pt>
                <c:pt idx="36">
                  <c:v>19.817236364806647</c:v>
                </c:pt>
                <c:pt idx="38">
                  <c:v>33.793884097716102</c:v>
                </c:pt>
                <c:pt idx="39">
                  <c:v>41.490492417952709</c:v>
                </c:pt>
                <c:pt idx="40">
                  <c:v>21.807634169918206</c:v>
                </c:pt>
                <c:pt idx="41">
                  <c:v>33.709924736634434</c:v>
                </c:pt>
                <c:pt idx="42">
                  <c:v>26.496940687618562</c:v>
                </c:pt>
                <c:pt idx="43">
                  <c:v>22.821893521929216</c:v>
                </c:pt>
                <c:pt idx="44">
                  <c:v>53.292760310507731</c:v>
                </c:pt>
                <c:pt idx="45">
                  <c:v>19.04746681999131</c:v>
                </c:pt>
                <c:pt idx="46">
                  <c:v>24.591395474334142</c:v>
                </c:pt>
                <c:pt idx="47">
                  <c:v>13.93626006895613</c:v>
                </c:pt>
                <c:pt idx="48">
                  <c:v>53.056424264638075</c:v>
                </c:pt>
                <c:pt idx="49">
                  <c:v>104.65044314225703</c:v>
                </c:pt>
                <c:pt idx="50">
                  <c:v>86.49824817102261</c:v>
                </c:pt>
                <c:pt idx="51">
                  <c:v>23.802037349604866</c:v>
                </c:pt>
                <c:pt idx="52">
                  <c:v>27.63750775347302</c:v>
                </c:pt>
                <c:pt idx="53">
                  <c:v>68.256248706924055</c:v>
                </c:pt>
                <c:pt idx="54">
                  <c:v>11.905641619644847</c:v>
                </c:pt>
                <c:pt idx="55">
                  <c:v>23.42404911339629</c:v>
                </c:pt>
                <c:pt idx="56">
                  <c:v>20.951208884101632</c:v>
                </c:pt>
                <c:pt idx="57">
                  <c:v>50.547783580321557</c:v>
                </c:pt>
                <c:pt idx="58">
                  <c:v>9.9150499192369157</c:v>
                </c:pt>
                <c:pt idx="59">
                  <c:v>21.281836256167871</c:v>
                </c:pt>
                <c:pt idx="60">
                  <c:v>21.021164027142913</c:v>
                </c:pt>
                <c:pt idx="61">
                  <c:v>14.833778689882136</c:v>
                </c:pt>
                <c:pt idx="62">
                  <c:v>17.317585361199164</c:v>
                </c:pt>
                <c:pt idx="63">
                  <c:v>25.771878821979264</c:v>
                </c:pt>
                <c:pt idx="64">
                  <c:v>20.128226614716286</c:v>
                </c:pt>
                <c:pt idx="65">
                  <c:v>24.858202956555271</c:v>
                </c:pt>
                <c:pt idx="66">
                  <c:v>26.937717301503742</c:v>
                </c:pt>
                <c:pt idx="68">
                  <c:v>24.908546787911042</c:v>
                </c:pt>
                <c:pt idx="69">
                  <c:v>55.563597741150716</c:v>
                </c:pt>
                <c:pt idx="71">
                  <c:v>14.294633503519256</c:v>
                </c:pt>
                <c:pt idx="72">
                  <c:v>86.518520873332619</c:v>
                </c:pt>
                <c:pt idx="73">
                  <c:v>38.558151645698892</c:v>
                </c:pt>
                <c:pt idx="74">
                  <c:v>16.590074742286312</c:v>
                </c:pt>
                <c:pt idx="75">
                  <c:v>31.910535827635012</c:v>
                </c:pt>
                <c:pt idx="76">
                  <c:v>19.343965166494854</c:v>
                </c:pt>
                <c:pt idx="77">
                  <c:v>16.184497748670186</c:v>
                </c:pt>
                <c:pt idx="78">
                  <c:v>61.246774825502229</c:v>
                </c:pt>
                <c:pt idx="80">
                  <c:v>43.040706902954867</c:v>
                </c:pt>
                <c:pt idx="81">
                  <c:v>65.643656172945612</c:v>
                </c:pt>
                <c:pt idx="82">
                  <c:v>8.410557562573036</c:v>
                </c:pt>
                <c:pt idx="83">
                  <c:v>18.876001004119853</c:v>
                </c:pt>
                <c:pt idx="84">
                  <c:v>112.27359313902183</c:v>
                </c:pt>
                <c:pt idx="85">
                  <c:v>16.486418300374716</c:v>
                </c:pt>
                <c:pt idx="86">
                  <c:v>21.692992686367106</c:v>
                </c:pt>
                <c:pt idx="88">
                  <c:v>10.584292286096643</c:v>
                </c:pt>
                <c:pt idx="90">
                  <c:v>20.010010643713915</c:v>
                </c:pt>
                <c:pt idx="91">
                  <c:v>21.288592626209475</c:v>
                </c:pt>
                <c:pt idx="92">
                  <c:v>42.118326584359686</c:v>
                </c:pt>
                <c:pt idx="93">
                  <c:v>35.044481695403917</c:v>
                </c:pt>
                <c:pt idx="94">
                  <c:v>27.123561152768644</c:v>
                </c:pt>
                <c:pt idx="95">
                  <c:v>28.387020129154564</c:v>
                </c:pt>
                <c:pt idx="96">
                  <c:v>19.041249462714411</c:v>
                </c:pt>
                <c:pt idx="97">
                  <c:v>30.694282668598646</c:v>
                </c:pt>
                <c:pt idx="98">
                  <c:v>18.458389727010715</c:v>
                </c:pt>
                <c:pt idx="99">
                  <c:v>13.323440656052659</c:v>
                </c:pt>
                <c:pt idx="100">
                  <c:v>12.53580470560733</c:v>
                </c:pt>
                <c:pt idx="102">
                  <c:v>29.437760147088579</c:v>
                </c:pt>
                <c:pt idx="104">
                  <c:v>31.625906817072384</c:v>
                </c:pt>
                <c:pt idx="105">
                  <c:v>69.04753881349825</c:v>
                </c:pt>
                <c:pt idx="106">
                  <c:v>18.964427466158885</c:v>
                </c:pt>
                <c:pt idx="107">
                  <c:v>12.350435671176653</c:v>
                </c:pt>
                <c:pt idx="108">
                  <c:v>17.402441240315614</c:v>
                </c:pt>
                <c:pt idx="109">
                  <c:v>17.904767653815398</c:v>
                </c:pt>
                <c:pt idx="110">
                  <c:v>25.417027964794372</c:v>
                </c:pt>
                <c:pt idx="111">
                  <c:v>39.072138844165622</c:v>
                </c:pt>
                <c:pt idx="112">
                  <c:v>33.875980238841983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A8-4638-803E-F044E9247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337917"/>
        <c:axId val="394132329"/>
      </c:scatterChart>
      <c:valAx>
        <c:axId val="7983379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GDP per capita</a:t>
                </a:r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nl-BE"/>
          </a:p>
        </c:txPr>
        <c:crossAx val="394132329"/>
        <c:crosses val="autoZero"/>
        <c:crossBetween val="midCat"/>
      </c:valAx>
      <c:valAx>
        <c:axId val="394132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volunteer hours per inhabitant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nl-BE"/>
          </a:p>
        </c:txPr>
        <c:crossAx val="79833791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nl-B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49</xdr:col>
      <xdr:colOff>571500</xdr:colOff>
      <xdr:row>123</xdr:row>
      <xdr:rowOff>0</xdr:rowOff>
    </xdr:from>
    <xdr:ext cx="5715000" cy="3533775"/>
    <xdr:graphicFrame macro="">
      <xdr:nvGraphicFramePr>
        <xdr:cNvPr id="2" name="Chart 1" title="Gra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42</xdr:col>
      <xdr:colOff>9525</xdr:colOff>
      <xdr:row>118</xdr:row>
      <xdr:rowOff>0</xdr:rowOff>
    </xdr:from>
    <xdr:ext cx="6429375" cy="3981450"/>
    <xdr:graphicFrame macro="">
      <xdr:nvGraphicFramePr>
        <xdr:cNvPr id="3" name="Chart 2" title="Graf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58</xdr:col>
      <xdr:colOff>581025</xdr:colOff>
      <xdr:row>6</xdr:row>
      <xdr:rowOff>180975</xdr:rowOff>
    </xdr:from>
    <xdr:ext cx="5715000" cy="3533775"/>
    <xdr:graphicFrame macro="">
      <xdr:nvGraphicFramePr>
        <xdr:cNvPr id="4" name="Chart 3" title="Graf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" sqref="D1"/>
    </sheetView>
  </sheetViews>
  <sheetFormatPr defaultColWidth="12.6328125" defaultRowHeight="15.75" customHeight="1" x14ac:dyDescent="0.25"/>
  <cols>
    <col min="1" max="1" width="4" customWidth="1"/>
    <col min="2" max="2" width="17" customWidth="1"/>
    <col min="3" max="3" width="10.453125" customWidth="1"/>
    <col min="4" max="4" width="15.6328125" customWidth="1"/>
    <col min="5" max="5" width="23.6328125" customWidth="1"/>
    <col min="6" max="6" width="7.6328125" customWidth="1"/>
    <col min="7" max="7" width="11" customWidth="1"/>
    <col min="8" max="8" width="10.6328125" customWidth="1"/>
    <col min="9" max="9" width="18" customWidth="1"/>
    <col min="10" max="10" width="15.453125" customWidth="1"/>
    <col min="11" max="27" width="7.6328125" customWidth="1"/>
  </cols>
  <sheetData>
    <row r="1" spans="1:27" ht="15.75" customHeight="1" x14ac:dyDescent="0.25">
      <c r="A1" s="1"/>
      <c r="B1" s="2" t="s">
        <v>0</v>
      </c>
      <c r="C1" s="3" t="s">
        <v>1</v>
      </c>
      <c r="D1" s="4" t="s">
        <v>2</v>
      </c>
      <c r="E1" s="2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6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5">
      <c r="A2" s="7">
        <v>1</v>
      </c>
      <c r="B2" s="8" t="s">
        <v>9</v>
      </c>
      <c r="C2" s="9">
        <v>32.9</v>
      </c>
      <c r="D2" s="10">
        <v>16.809877687592731</v>
      </c>
      <c r="E2" s="11" t="s">
        <v>10</v>
      </c>
      <c r="F2" s="12" t="s">
        <v>11</v>
      </c>
      <c r="G2" s="12">
        <v>2.1073</v>
      </c>
      <c r="H2" s="12">
        <v>13.513999999999999</v>
      </c>
      <c r="I2" s="13" t="s">
        <v>12</v>
      </c>
      <c r="J2" s="14" t="s">
        <v>13</v>
      </c>
      <c r="K2" s="15">
        <v>1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15.75" customHeight="1" x14ac:dyDescent="0.35">
      <c r="A3" s="7">
        <v>2</v>
      </c>
      <c r="B3" s="16" t="s">
        <v>14</v>
      </c>
      <c r="C3" s="17">
        <v>33.4</v>
      </c>
      <c r="D3" s="18">
        <v>26.479688273363518</v>
      </c>
      <c r="E3" s="19" t="s">
        <v>10</v>
      </c>
      <c r="F3" s="20" t="s">
        <v>15</v>
      </c>
      <c r="G3" s="20" t="s">
        <v>16</v>
      </c>
      <c r="H3" s="20" t="s">
        <v>17</v>
      </c>
      <c r="I3" s="21" t="s">
        <v>12</v>
      </c>
      <c r="J3" s="22" t="s">
        <v>13</v>
      </c>
      <c r="K3" s="15">
        <v>1</v>
      </c>
      <c r="L3" s="15"/>
      <c r="M3" s="15"/>
    </row>
    <row r="4" spans="1:27" ht="15.75" customHeight="1" x14ac:dyDescent="0.35">
      <c r="A4" s="7">
        <v>3</v>
      </c>
      <c r="B4" s="23" t="s">
        <v>18</v>
      </c>
      <c r="C4" s="17">
        <v>35.299999999999997</v>
      </c>
      <c r="D4" s="18">
        <v>29.114812562857921</v>
      </c>
      <c r="E4" s="19" t="s">
        <v>10</v>
      </c>
      <c r="F4" s="20" t="s">
        <v>19</v>
      </c>
      <c r="G4" s="20">
        <v>-10.7957</v>
      </c>
      <c r="H4" s="20">
        <v>6.3003900000000002</v>
      </c>
      <c r="I4" s="21" t="s">
        <v>12</v>
      </c>
      <c r="J4" s="22" t="s">
        <v>13</v>
      </c>
      <c r="K4" s="15">
        <v>1</v>
      </c>
      <c r="L4" s="15"/>
      <c r="M4" s="15"/>
    </row>
    <row r="5" spans="1:27" ht="15.75" customHeight="1" x14ac:dyDescent="0.35">
      <c r="A5" s="7">
        <v>4</v>
      </c>
      <c r="B5" s="23" t="s">
        <v>20</v>
      </c>
      <c r="C5" s="17">
        <v>35.700000000000003</v>
      </c>
      <c r="D5" s="18">
        <v>24.591395474334142</v>
      </c>
      <c r="E5" s="19" t="s">
        <v>10</v>
      </c>
      <c r="F5" s="20" t="s">
        <v>21</v>
      </c>
      <c r="G5" s="20">
        <v>-7.5003399999999996</v>
      </c>
      <c r="H5" s="20">
        <v>13.566700000000001</v>
      </c>
      <c r="I5" s="21" t="s">
        <v>12</v>
      </c>
      <c r="J5" s="22" t="s">
        <v>13</v>
      </c>
      <c r="K5" s="15">
        <v>1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15.75" customHeight="1" x14ac:dyDescent="0.35">
      <c r="A6" s="7">
        <v>5</v>
      </c>
      <c r="B6" s="16" t="s">
        <v>22</v>
      </c>
      <c r="C6" s="17">
        <v>35.700000000000003</v>
      </c>
      <c r="D6" s="18">
        <v>28.552911975306241</v>
      </c>
      <c r="E6" s="19" t="s">
        <v>10</v>
      </c>
      <c r="F6" s="20" t="s">
        <v>23</v>
      </c>
      <c r="G6" s="20">
        <v>-13.2134</v>
      </c>
      <c r="H6" s="20">
        <v>8.4821000000000009</v>
      </c>
      <c r="I6" s="21" t="s">
        <v>12</v>
      </c>
      <c r="J6" s="22" t="s">
        <v>13</v>
      </c>
      <c r="K6" s="15">
        <v>1</v>
      </c>
      <c r="L6" s="15"/>
      <c r="M6" s="15"/>
    </row>
    <row r="7" spans="1:27" ht="15.75" customHeight="1" x14ac:dyDescent="0.35">
      <c r="A7" s="7">
        <v>6</v>
      </c>
      <c r="B7" s="16" t="s">
        <v>24</v>
      </c>
      <c r="C7" s="17">
        <v>37.4</v>
      </c>
      <c r="D7" s="18">
        <v>20.831223508061949</v>
      </c>
      <c r="E7" s="19" t="s">
        <v>10</v>
      </c>
      <c r="F7" s="20" t="s">
        <v>25</v>
      </c>
      <c r="G7" s="20" t="s">
        <v>26</v>
      </c>
      <c r="H7" s="20" t="s">
        <v>27</v>
      </c>
      <c r="I7" s="21" t="s">
        <v>12</v>
      </c>
      <c r="J7" s="22" t="s">
        <v>13</v>
      </c>
      <c r="K7" s="15">
        <v>1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5.75" customHeight="1" x14ac:dyDescent="0.35">
      <c r="A8" s="7">
        <v>7</v>
      </c>
      <c r="B8" s="16" t="s">
        <v>28</v>
      </c>
      <c r="C8" s="17">
        <v>37.4</v>
      </c>
      <c r="D8" s="18">
        <v>26.746846128165121</v>
      </c>
      <c r="E8" s="19" t="s">
        <v>10</v>
      </c>
      <c r="F8" s="20" t="s">
        <v>29</v>
      </c>
      <c r="G8" s="20" t="s">
        <v>30</v>
      </c>
      <c r="H8" s="20" t="s">
        <v>31</v>
      </c>
      <c r="I8" s="21" t="s">
        <v>12</v>
      </c>
      <c r="J8" s="22" t="s">
        <v>13</v>
      </c>
      <c r="K8" s="15">
        <v>1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15.75" customHeight="1" x14ac:dyDescent="0.35">
      <c r="A9" s="7">
        <v>8</v>
      </c>
      <c r="B9" s="16" t="s">
        <v>32</v>
      </c>
      <c r="C9" s="17">
        <v>37.9</v>
      </c>
      <c r="D9" s="18">
        <v>21.427600948882365</v>
      </c>
      <c r="E9" s="19" t="s">
        <v>10</v>
      </c>
      <c r="F9" s="20" t="s">
        <v>33</v>
      </c>
      <c r="G9" s="20">
        <v>1.2255</v>
      </c>
      <c r="H9" s="20">
        <v>6.1227999999999998</v>
      </c>
      <c r="I9" s="21" t="s">
        <v>12</v>
      </c>
      <c r="J9" s="22" t="s">
        <v>13</v>
      </c>
      <c r="K9" s="15">
        <v>1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15.75" customHeight="1" x14ac:dyDescent="0.35">
      <c r="A10" s="7">
        <v>9</v>
      </c>
      <c r="B10" s="23" t="s">
        <v>34</v>
      </c>
      <c r="C10" s="17">
        <v>38.799999999999997</v>
      </c>
      <c r="D10" s="18">
        <v>27.123561152768644</v>
      </c>
      <c r="E10" s="19" t="s">
        <v>10</v>
      </c>
      <c r="F10" s="20" t="s">
        <v>35</v>
      </c>
      <c r="G10" s="20" t="s">
        <v>36</v>
      </c>
      <c r="H10" s="20" t="s">
        <v>37</v>
      </c>
      <c r="I10" s="21" t="s">
        <v>12</v>
      </c>
      <c r="J10" s="22" t="s">
        <v>13</v>
      </c>
      <c r="K10" s="15">
        <v>1</v>
      </c>
      <c r="L10" s="15"/>
      <c r="M10" s="15"/>
      <c r="N10" s="15"/>
      <c r="O10" s="24" t="s">
        <v>38</v>
      </c>
      <c r="P10" s="24" t="s">
        <v>39</v>
      </c>
      <c r="Q10" s="24" t="s">
        <v>40</v>
      </c>
      <c r="R10" s="24" t="s">
        <v>41</v>
      </c>
      <c r="S10" s="24" t="s">
        <v>42</v>
      </c>
      <c r="T10" s="24" t="s">
        <v>41</v>
      </c>
      <c r="U10" s="15"/>
      <c r="V10" s="15"/>
      <c r="W10" s="15"/>
      <c r="X10" s="15"/>
      <c r="Y10" s="15"/>
      <c r="Z10" s="15"/>
      <c r="AA10" s="15"/>
    </row>
    <row r="11" spans="1:27" ht="15.75" customHeight="1" x14ac:dyDescent="0.35">
      <c r="A11" s="7">
        <v>10</v>
      </c>
      <c r="B11" s="25" t="s">
        <v>43</v>
      </c>
      <c r="C11" s="17">
        <v>42.7</v>
      </c>
      <c r="D11" s="18">
        <v>25.771878821979264</v>
      </c>
      <c r="E11" s="26" t="s">
        <v>10</v>
      </c>
      <c r="F11" s="20" t="s">
        <v>44</v>
      </c>
      <c r="G11" s="20">
        <v>32.572899999999997</v>
      </c>
      <c r="H11" s="20">
        <v>0.31426900000000002</v>
      </c>
      <c r="I11" s="27" t="s">
        <v>12</v>
      </c>
      <c r="J11" s="22" t="s">
        <v>13</v>
      </c>
      <c r="K11" s="15">
        <v>1</v>
      </c>
      <c r="L11" s="15"/>
      <c r="M11" s="15"/>
      <c r="N11" s="15"/>
      <c r="O11" s="28" t="s">
        <v>45</v>
      </c>
      <c r="P11" s="28">
        <v>110</v>
      </c>
      <c r="Q11" s="28" t="s">
        <v>46</v>
      </c>
      <c r="R11" s="28">
        <v>2.3E-2</v>
      </c>
      <c r="S11" s="28" t="s">
        <v>47</v>
      </c>
      <c r="T11" s="28">
        <v>0.24199999999999999</v>
      </c>
      <c r="U11" s="15"/>
      <c r="V11" s="15"/>
      <c r="W11" s="15"/>
      <c r="X11" s="15"/>
      <c r="Y11" s="15"/>
      <c r="Z11" s="15"/>
      <c r="AA11" s="15"/>
    </row>
    <row r="12" spans="1:27" ht="15.75" customHeight="1" x14ac:dyDescent="0.35">
      <c r="A12" s="7">
        <v>11</v>
      </c>
      <c r="B12" s="23" t="s">
        <v>48</v>
      </c>
      <c r="C12" s="17">
        <v>43.7</v>
      </c>
      <c r="D12" s="18">
        <v>19.817236364806647</v>
      </c>
      <c r="E12" s="19" t="s">
        <v>10</v>
      </c>
      <c r="F12" s="20" t="s">
        <v>49</v>
      </c>
      <c r="G12" s="20">
        <v>30.058700000000002</v>
      </c>
      <c r="H12" s="20">
        <v>-1.9532499999999999</v>
      </c>
      <c r="I12" s="21" t="s">
        <v>12</v>
      </c>
      <c r="J12" s="22" t="s">
        <v>13</v>
      </c>
      <c r="K12" s="15">
        <v>1</v>
      </c>
      <c r="L12" s="15"/>
      <c r="M12" s="15"/>
      <c r="N12" s="15"/>
      <c r="O12" s="29" t="s">
        <v>50</v>
      </c>
      <c r="P12" s="29">
        <v>43</v>
      </c>
      <c r="Q12" s="29">
        <f>0.263</f>
        <v>0.26300000000000001</v>
      </c>
      <c r="R12" s="29">
        <v>8.7999999999999995E-2</v>
      </c>
      <c r="S12" s="29">
        <f>0.291</f>
        <v>0.29099999999999998</v>
      </c>
      <c r="T12" s="29">
        <v>5.8000000000000003E-2</v>
      </c>
      <c r="U12" s="15"/>
      <c r="V12" s="15"/>
      <c r="W12" s="15"/>
      <c r="X12" s="15"/>
      <c r="Y12" s="15"/>
      <c r="Z12" s="15"/>
      <c r="AA12" s="15"/>
    </row>
    <row r="13" spans="1:27" ht="15.75" customHeight="1" x14ac:dyDescent="0.35">
      <c r="A13" s="7">
        <v>12</v>
      </c>
      <c r="B13" s="23" t="s">
        <v>51</v>
      </c>
      <c r="C13" s="17">
        <v>51.5</v>
      </c>
      <c r="D13" s="18">
        <v>25.071574860837124</v>
      </c>
      <c r="E13" s="19" t="s">
        <v>10</v>
      </c>
      <c r="F13" s="20" t="s">
        <v>52</v>
      </c>
      <c r="G13" s="20">
        <v>28.293700000000001</v>
      </c>
      <c r="H13" s="20">
        <v>-15.398199999999999</v>
      </c>
      <c r="I13" s="21" t="s">
        <v>12</v>
      </c>
      <c r="J13" s="22" t="s">
        <v>13</v>
      </c>
      <c r="K13" s="15">
        <v>1</v>
      </c>
      <c r="L13" s="15"/>
      <c r="M13" s="15"/>
      <c r="N13" s="15"/>
      <c r="O13" s="30" t="s">
        <v>53</v>
      </c>
      <c r="P13" s="30">
        <v>67</v>
      </c>
      <c r="Q13" s="30" t="s">
        <v>54</v>
      </c>
      <c r="R13" s="30">
        <v>0.03</v>
      </c>
      <c r="S13" s="30" t="s">
        <v>55</v>
      </c>
      <c r="T13" s="30">
        <v>8.1000000000000003E-2</v>
      </c>
      <c r="U13" s="15"/>
      <c r="V13" s="15"/>
      <c r="W13" s="15"/>
      <c r="X13" s="15"/>
      <c r="Y13" s="15"/>
      <c r="Z13" s="15"/>
      <c r="AA13" s="15"/>
    </row>
    <row r="14" spans="1:27" ht="15.75" customHeight="1" x14ac:dyDescent="0.35">
      <c r="A14" s="7">
        <v>13</v>
      </c>
      <c r="B14" s="25" t="s">
        <v>56</v>
      </c>
      <c r="C14" s="17">
        <v>25.6</v>
      </c>
      <c r="D14" s="18">
        <v>16.184497748670186</v>
      </c>
      <c r="E14" s="26" t="s">
        <v>57</v>
      </c>
      <c r="F14" s="20" t="s">
        <v>58</v>
      </c>
      <c r="G14" s="20">
        <v>30.503799999999998</v>
      </c>
      <c r="H14" s="20">
        <v>50.453600000000002</v>
      </c>
      <c r="I14" s="27" t="s">
        <v>59</v>
      </c>
      <c r="J14" s="22" t="s">
        <v>60</v>
      </c>
      <c r="K14" s="15">
        <v>2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5.75" customHeight="1" x14ac:dyDescent="0.35">
      <c r="A15" s="7">
        <v>14</v>
      </c>
      <c r="B15" s="16" t="s">
        <v>61</v>
      </c>
      <c r="C15" s="17">
        <v>26.4</v>
      </c>
      <c r="D15" s="18">
        <v>16.597345876470527</v>
      </c>
      <c r="E15" s="19" t="s">
        <v>57</v>
      </c>
      <c r="F15" s="20" t="s">
        <v>62</v>
      </c>
      <c r="G15" s="20">
        <v>74.605699999999999</v>
      </c>
      <c r="H15" s="20">
        <v>42.885100000000001</v>
      </c>
      <c r="I15" s="21" t="s">
        <v>59</v>
      </c>
      <c r="J15" s="22" t="s">
        <v>13</v>
      </c>
      <c r="K15" s="31">
        <v>2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15.75" customHeight="1" x14ac:dyDescent="0.35">
      <c r="A16" s="7">
        <v>15</v>
      </c>
      <c r="B16" s="23" t="s">
        <v>63</v>
      </c>
      <c r="C16" s="17">
        <v>29.6</v>
      </c>
      <c r="D16" s="18">
        <v>11.763166963360721</v>
      </c>
      <c r="E16" s="19" t="s">
        <v>64</v>
      </c>
      <c r="F16" s="20" t="s">
        <v>65</v>
      </c>
      <c r="G16" s="20">
        <v>72.8</v>
      </c>
      <c r="H16" s="20">
        <v>30.5167</v>
      </c>
      <c r="I16" s="21" t="s">
        <v>59</v>
      </c>
      <c r="J16" s="22" t="s">
        <v>66</v>
      </c>
      <c r="K16" s="15">
        <v>2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5.75" customHeight="1" x14ac:dyDescent="0.35">
      <c r="A17" s="7">
        <v>16</v>
      </c>
      <c r="B17" s="23" t="s">
        <v>67</v>
      </c>
      <c r="C17" s="17">
        <v>30</v>
      </c>
      <c r="D17" s="18">
        <v>13.93626006895613</v>
      </c>
      <c r="E17" s="19" t="s">
        <v>64</v>
      </c>
      <c r="F17" s="20" t="s">
        <v>68</v>
      </c>
      <c r="G17" s="20">
        <v>85.315700000000007</v>
      </c>
      <c r="H17" s="20">
        <v>27.693899999999999</v>
      </c>
      <c r="I17" s="21" t="s">
        <v>59</v>
      </c>
      <c r="J17" s="22" t="s">
        <v>13</v>
      </c>
      <c r="K17" s="15">
        <v>2</v>
      </c>
      <c r="L17" s="15"/>
      <c r="M17" s="15"/>
    </row>
    <row r="18" spans="1:27" ht="15.75" customHeight="1" x14ac:dyDescent="0.35">
      <c r="A18" s="7">
        <v>17</v>
      </c>
      <c r="B18" s="23" t="s">
        <v>69</v>
      </c>
      <c r="C18" s="17">
        <v>30.7</v>
      </c>
      <c r="D18" s="18">
        <v>18.876001004119853</v>
      </c>
      <c r="E18" s="19" t="s">
        <v>70</v>
      </c>
      <c r="F18" s="20" t="s">
        <v>71</v>
      </c>
      <c r="G18" s="20">
        <v>95.956199999999995</v>
      </c>
      <c r="H18" s="20">
        <v>21.914000000000001</v>
      </c>
      <c r="I18" s="21" t="s">
        <v>59</v>
      </c>
      <c r="J18" s="22" t="s">
        <v>13</v>
      </c>
      <c r="K18" s="15">
        <v>2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15.75" customHeight="1" x14ac:dyDescent="0.35">
      <c r="A19" s="7">
        <v>18</v>
      </c>
      <c r="B19" s="23" t="s">
        <v>72</v>
      </c>
      <c r="C19" s="17">
        <v>31.2</v>
      </c>
      <c r="D19" s="18">
        <v>26.496940687618562</v>
      </c>
      <c r="E19" s="19" t="s">
        <v>57</v>
      </c>
      <c r="F19" s="20" t="s">
        <v>73</v>
      </c>
      <c r="G19" s="20">
        <v>69.269000000000005</v>
      </c>
      <c r="H19" s="20">
        <v>41.305199999999999</v>
      </c>
      <c r="I19" s="21" t="s">
        <v>59</v>
      </c>
      <c r="J19" s="22" t="s">
        <v>66</v>
      </c>
      <c r="K19" s="15">
        <v>2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5.75" customHeight="1" x14ac:dyDescent="0.35">
      <c r="A20" s="7">
        <v>19</v>
      </c>
      <c r="B20" s="23" t="s">
        <v>74</v>
      </c>
      <c r="C20" s="17">
        <v>31.4</v>
      </c>
      <c r="D20" s="18">
        <v>29.437760147088579</v>
      </c>
      <c r="E20" s="19" t="s">
        <v>70</v>
      </c>
      <c r="F20" s="20" t="s">
        <v>75</v>
      </c>
      <c r="G20" s="20">
        <v>106.937</v>
      </c>
      <c r="H20" s="20">
        <v>47.9129</v>
      </c>
      <c r="I20" s="21" t="s">
        <v>59</v>
      </c>
      <c r="J20" s="22" t="s">
        <v>60</v>
      </c>
      <c r="K20" s="15">
        <v>2</v>
      </c>
      <c r="L20" s="15"/>
      <c r="M20" s="15"/>
    </row>
    <row r="21" spans="1:27" ht="15.75" customHeight="1" x14ac:dyDescent="0.35">
      <c r="A21" s="7">
        <v>20</v>
      </c>
      <c r="B21" s="23" t="s">
        <v>76</v>
      </c>
      <c r="C21" s="17">
        <v>31.8</v>
      </c>
      <c r="D21" s="18">
        <v>39.072138844165622</v>
      </c>
      <c r="E21" s="19" t="s">
        <v>77</v>
      </c>
      <c r="F21" s="20" t="s">
        <v>78</v>
      </c>
      <c r="G21" s="20">
        <v>35.513399999999997</v>
      </c>
      <c r="H21" s="20">
        <v>33.8872</v>
      </c>
      <c r="I21" s="21" t="s">
        <v>59</v>
      </c>
      <c r="J21" s="22" t="s">
        <v>60</v>
      </c>
      <c r="K21" s="15">
        <v>2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4.5" x14ac:dyDescent="0.35">
      <c r="A22" s="7">
        <v>21</v>
      </c>
      <c r="B22" s="23" t="s">
        <v>79</v>
      </c>
      <c r="C22" s="17">
        <v>31.9</v>
      </c>
      <c r="D22" s="18">
        <v>8.410557562573036</v>
      </c>
      <c r="E22" s="19" t="s">
        <v>77</v>
      </c>
      <c r="F22" s="20" t="s">
        <v>80</v>
      </c>
      <c r="G22" s="20" t="s">
        <v>81</v>
      </c>
      <c r="H22" s="20" t="s">
        <v>82</v>
      </c>
      <c r="I22" s="21" t="s">
        <v>59</v>
      </c>
      <c r="J22" s="22" t="s">
        <v>60</v>
      </c>
      <c r="K22" s="15">
        <v>2</v>
      </c>
      <c r="L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4.5" x14ac:dyDescent="0.35">
      <c r="A23" s="7">
        <v>22</v>
      </c>
      <c r="B23" s="23" t="s">
        <v>83</v>
      </c>
      <c r="C23" s="17">
        <v>32</v>
      </c>
      <c r="D23" s="18">
        <v>19.04746681999131</v>
      </c>
      <c r="E23" s="19" t="s">
        <v>10</v>
      </c>
      <c r="F23" s="20" t="s">
        <v>84</v>
      </c>
      <c r="G23" s="20">
        <v>-15.9824</v>
      </c>
      <c r="H23" s="20">
        <v>18.236699999999999</v>
      </c>
      <c r="I23" s="21" t="s">
        <v>59</v>
      </c>
      <c r="J23" s="22" t="s">
        <v>13</v>
      </c>
      <c r="K23" s="15">
        <v>2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4.5" x14ac:dyDescent="0.35">
      <c r="A24" s="7">
        <v>23</v>
      </c>
      <c r="B24" s="23" t="s">
        <v>85</v>
      </c>
      <c r="C24" s="17">
        <v>32.799999999999997</v>
      </c>
      <c r="D24" s="18">
        <v>22.740385177773501</v>
      </c>
      <c r="E24" s="32" t="s">
        <v>64</v>
      </c>
      <c r="F24" s="20" t="s">
        <v>86</v>
      </c>
      <c r="G24" s="20" t="s">
        <v>87</v>
      </c>
      <c r="H24" s="20" t="s">
        <v>88</v>
      </c>
      <c r="I24" s="33" t="s">
        <v>59</v>
      </c>
      <c r="J24" s="34" t="s">
        <v>60</v>
      </c>
      <c r="K24" s="15">
        <v>2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4.5" x14ac:dyDescent="0.35">
      <c r="A25" s="7">
        <v>24</v>
      </c>
      <c r="B25" s="23" t="s">
        <v>89</v>
      </c>
      <c r="C25" s="17">
        <v>33.4</v>
      </c>
      <c r="D25" s="18">
        <v>13.841659125240042</v>
      </c>
      <c r="E25" s="19" t="s">
        <v>64</v>
      </c>
      <c r="F25" s="20" t="s">
        <v>90</v>
      </c>
      <c r="G25" s="20" t="s">
        <v>91</v>
      </c>
      <c r="H25" s="20" t="s">
        <v>92</v>
      </c>
      <c r="I25" s="21" t="s">
        <v>59</v>
      </c>
      <c r="J25" s="22" t="s">
        <v>13</v>
      </c>
      <c r="K25" s="15">
        <v>2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4.5" x14ac:dyDescent="0.35">
      <c r="A26" s="7">
        <v>25</v>
      </c>
      <c r="B26" s="23" t="s">
        <v>93</v>
      </c>
      <c r="C26" s="17">
        <v>33.700000000000003</v>
      </c>
      <c r="D26" s="18">
        <v>12.350435671176653</v>
      </c>
      <c r="E26" s="19" t="s">
        <v>77</v>
      </c>
      <c r="F26" s="20" t="s">
        <v>94</v>
      </c>
      <c r="G26" s="20">
        <v>10.210000000000001</v>
      </c>
      <c r="H26" s="20">
        <v>36.789900000000003</v>
      </c>
      <c r="I26" s="21" t="s">
        <v>59</v>
      </c>
      <c r="J26" s="22" t="s">
        <v>60</v>
      </c>
      <c r="K26" s="15">
        <v>2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4.5" x14ac:dyDescent="0.35">
      <c r="A27" s="7">
        <v>26</v>
      </c>
      <c r="B27" s="23" t="s">
        <v>95</v>
      </c>
      <c r="C27" s="17">
        <v>34.4</v>
      </c>
      <c r="D27" s="18">
        <v>20.219153529419334</v>
      </c>
      <c r="E27" s="19" t="s">
        <v>10</v>
      </c>
      <c r="F27" s="20" t="s">
        <v>96</v>
      </c>
      <c r="G27" s="20" t="s">
        <v>97</v>
      </c>
      <c r="H27" s="20" t="s">
        <v>98</v>
      </c>
      <c r="I27" s="21" t="s">
        <v>59</v>
      </c>
      <c r="J27" s="22" t="s">
        <v>13</v>
      </c>
      <c r="K27" s="15">
        <v>2</v>
      </c>
      <c r="L27" s="15"/>
      <c r="M27" s="15"/>
    </row>
    <row r="28" spans="1:27" ht="14.5" x14ac:dyDescent="0.35">
      <c r="A28" s="7">
        <v>27</v>
      </c>
      <c r="B28" s="23" t="s">
        <v>99</v>
      </c>
      <c r="C28" s="17">
        <v>35.1</v>
      </c>
      <c r="D28" s="18">
        <v>21.112437407355451</v>
      </c>
      <c r="E28" s="19" t="s">
        <v>10</v>
      </c>
      <c r="F28" s="20" t="s">
        <v>100</v>
      </c>
      <c r="G28" s="20">
        <v>7.4890600000000003</v>
      </c>
      <c r="H28" s="20">
        <v>9.0580400000000001</v>
      </c>
      <c r="I28" s="21" t="s">
        <v>59</v>
      </c>
      <c r="J28" s="22" t="s">
        <v>66</v>
      </c>
      <c r="K28" s="15">
        <v>2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4.5" x14ac:dyDescent="0.35">
      <c r="A29" s="7">
        <v>28</v>
      </c>
      <c r="B29" s="23" t="s">
        <v>101</v>
      </c>
      <c r="C29" s="17">
        <v>35.299999999999997</v>
      </c>
      <c r="D29" s="18">
        <v>22.821893521929216</v>
      </c>
      <c r="E29" s="19" t="s">
        <v>10</v>
      </c>
      <c r="F29" s="20" t="s">
        <v>102</v>
      </c>
      <c r="G29" s="20" t="s">
        <v>103</v>
      </c>
      <c r="H29" s="20" t="s">
        <v>104</v>
      </c>
      <c r="I29" s="21" t="s">
        <v>59</v>
      </c>
      <c r="J29" s="22" t="s">
        <v>13</v>
      </c>
      <c r="K29" s="15">
        <v>2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4.5" x14ac:dyDescent="0.35">
      <c r="A30" s="7">
        <v>29</v>
      </c>
      <c r="B30" s="23" t="s">
        <v>105</v>
      </c>
      <c r="C30" s="17">
        <v>36.1</v>
      </c>
      <c r="D30" s="18">
        <v>15.289777177633788</v>
      </c>
      <c r="E30" s="19" t="s">
        <v>70</v>
      </c>
      <c r="F30" s="20" t="s">
        <v>106</v>
      </c>
      <c r="G30" s="20" t="s">
        <v>107</v>
      </c>
      <c r="H30" s="20" t="s">
        <v>108</v>
      </c>
      <c r="I30" s="21" t="s">
        <v>59</v>
      </c>
      <c r="J30" s="22" t="s">
        <v>60</v>
      </c>
      <c r="K30" s="15">
        <v>2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4.5" x14ac:dyDescent="0.35">
      <c r="A31" s="7">
        <v>30</v>
      </c>
      <c r="B31" s="23" t="s">
        <v>109</v>
      </c>
      <c r="C31" s="17">
        <v>36.1</v>
      </c>
      <c r="D31" s="18">
        <v>23.328233856889156</v>
      </c>
      <c r="E31" s="19" t="s">
        <v>70</v>
      </c>
      <c r="F31" s="20"/>
      <c r="G31" s="20"/>
      <c r="H31" s="20"/>
      <c r="I31" s="21" t="s">
        <v>59</v>
      </c>
      <c r="J31" s="22"/>
      <c r="K31" s="15">
        <v>2</v>
      </c>
    </row>
    <row r="32" spans="1:27" ht="14.5" x14ac:dyDescent="0.35">
      <c r="A32" s="7">
        <v>31</v>
      </c>
      <c r="B32" s="23" t="s">
        <v>110</v>
      </c>
      <c r="C32" s="17">
        <v>36.200000000000003</v>
      </c>
      <c r="D32" s="18">
        <v>14.452194378371788</v>
      </c>
      <c r="E32" s="19" t="s">
        <v>10</v>
      </c>
      <c r="F32" s="20" t="s">
        <v>111</v>
      </c>
      <c r="G32" s="20">
        <v>-17.473400000000002</v>
      </c>
      <c r="H32" s="20">
        <v>14.7247</v>
      </c>
      <c r="I32" s="21" t="s">
        <v>59</v>
      </c>
      <c r="J32" s="22" t="s">
        <v>13</v>
      </c>
      <c r="K32" s="15">
        <v>2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4.5" x14ac:dyDescent="0.35">
      <c r="A33" s="7">
        <v>32</v>
      </c>
      <c r="B33" s="23" t="s">
        <v>112</v>
      </c>
      <c r="C33" s="17">
        <v>37.700000000000003</v>
      </c>
      <c r="D33" s="18">
        <v>10.584292286096643</v>
      </c>
      <c r="E33" s="35" t="s">
        <v>64</v>
      </c>
      <c r="F33" s="20" t="s">
        <v>113</v>
      </c>
      <c r="G33" s="20">
        <v>79.852800000000002</v>
      </c>
      <c r="H33" s="20">
        <v>6.9214799999999999</v>
      </c>
      <c r="I33" s="20" t="s">
        <v>59</v>
      </c>
      <c r="J33" s="22" t="s">
        <v>60</v>
      </c>
      <c r="K33" s="15">
        <v>2</v>
      </c>
    </row>
    <row r="34" spans="1:27" ht="14.5" x14ac:dyDescent="0.35">
      <c r="A34" s="7">
        <v>33</v>
      </c>
      <c r="B34" s="23" t="s">
        <v>114</v>
      </c>
      <c r="C34" s="17">
        <v>38.700000000000003</v>
      </c>
      <c r="D34" s="18">
        <v>19.587037114397187</v>
      </c>
      <c r="E34" s="19" t="s">
        <v>10</v>
      </c>
      <c r="F34" s="20" t="s">
        <v>115</v>
      </c>
      <c r="G34" s="20" t="s">
        <v>116</v>
      </c>
      <c r="H34" s="20" t="s">
        <v>117</v>
      </c>
      <c r="I34" s="21" t="s">
        <v>59</v>
      </c>
      <c r="J34" s="22" t="s">
        <v>66</v>
      </c>
      <c r="K34" s="15">
        <v>2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4.5" x14ac:dyDescent="0.35">
      <c r="A35" s="7">
        <v>34</v>
      </c>
      <c r="B35" s="23" t="s">
        <v>118</v>
      </c>
      <c r="C35" s="17">
        <v>38.799999999999997</v>
      </c>
      <c r="D35" s="18">
        <v>38.558151645698892</v>
      </c>
      <c r="E35" s="19" t="s">
        <v>70</v>
      </c>
      <c r="F35" s="20" t="s">
        <v>119</v>
      </c>
      <c r="G35" s="20">
        <v>102.17700000000001</v>
      </c>
      <c r="H35" s="20">
        <v>18.582599999999999</v>
      </c>
      <c r="I35" s="21" t="s">
        <v>59</v>
      </c>
      <c r="J35" s="22" t="s">
        <v>13</v>
      </c>
      <c r="K35" s="15">
        <v>2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4.5" x14ac:dyDescent="0.35">
      <c r="A36" s="7">
        <v>35</v>
      </c>
      <c r="B36" s="23" t="s">
        <v>120</v>
      </c>
      <c r="C36" s="17">
        <v>38.799999999999997</v>
      </c>
      <c r="D36" s="18">
        <v>21.692992686367106</v>
      </c>
      <c r="E36" s="19" t="s">
        <v>121</v>
      </c>
      <c r="F36" s="20" t="s">
        <v>122</v>
      </c>
      <c r="G36" s="20" t="s">
        <v>123</v>
      </c>
      <c r="H36" s="20" t="s">
        <v>124</v>
      </c>
      <c r="I36" s="21" t="s">
        <v>59</v>
      </c>
      <c r="J36" s="22" t="s">
        <v>60</v>
      </c>
      <c r="K36" s="15">
        <v>2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4.5" x14ac:dyDescent="0.35">
      <c r="A37" s="7">
        <v>36</v>
      </c>
      <c r="B37" s="23" t="s">
        <v>125</v>
      </c>
      <c r="C37" s="17">
        <v>40.700000000000003</v>
      </c>
      <c r="D37" s="18">
        <v>24.908546787911042</v>
      </c>
      <c r="E37" s="19" t="s">
        <v>70</v>
      </c>
      <c r="F37" s="20" t="s">
        <v>126</v>
      </c>
      <c r="G37" s="20">
        <v>121.035</v>
      </c>
      <c r="H37" s="20">
        <v>14.551500000000001</v>
      </c>
      <c r="I37" s="21" t="s">
        <v>59</v>
      </c>
      <c r="J37" s="22" t="s">
        <v>60</v>
      </c>
      <c r="K37" s="15">
        <v>2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4.5" x14ac:dyDescent="0.35">
      <c r="A38" s="7">
        <v>37</v>
      </c>
      <c r="B38" s="23" t="s">
        <v>127</v>
      </c>
      <c r="C38" s="17">
        <v>40.9</v>
      </c>
      <c r="D38" s="18">
        <v>21.761254314297219</v>
      </c>
      <c r="E38" s="19" t="s">
        <v>121</v>
      </c>
      <c r="F38" s="20" t="s">
        <v>128</v>
      </c>
      <c r="G38" s="20" t="s">
        <v>129</v>
      </c>
      <c r="H38" s="20" t="s">
        <v>130</v>
      </c>
      <c r="I38" s="21" t="s">
        <v>59</v>
      </c>
      <c r="J38" s="22" t="s">
        <v>60</v>
      </c>
      <c r="K38" s="15">
        <v>2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4.5" x14ac:dyDescent="0.35">
      <c r="A39" s="7">
        <v>38</v>
      </c>
      <c r="B39" s="16" t="s">
        <v>131</v>
      </c>
      <c r="C39" s="17">
        <v>41.6</v>
      </c>
      <c r="D39" s="18">
        <v>60.138872756039817</v>
      </c>
      <c r="E39" s="19" t="s">
        <v>77</v>
      </c>
      <c r="F39" s="20" t="s">
        <v>131</v>
      </c>
      <c r="G39" s="20" t="s">
        <v>132</v>
      </c>
      <c r="H39" s="20" t="s">
        <v>133</v>
      </c>
      <c r="I39" s="21" t="s">
        <v>59</v>
      </c>
      <c r="J39" s="22" t="s">
        <v>13</v>
      </c>
      <c r="K39" s="15">
        <v>2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4.5" x14ac:dyDescent="0.35">
      <c r="A40" s="7">
        <v>39</v>
      </c>
      <c r="B40" s="16" t="s">
        <v>134</v>
      </c>
      <c r="C40" s="17">
        <v>42.4</v>
      </c>
      <c r="D40" s="18">
        <v>43.546884381621297</v>
      </c>
      <c r="E40" s="19" t="s">
        <v>10</v>
      </c>
      <c r="F40" s="20" t="s">
        <v>135</v>
      </c>
      <c r="G40" s="20" t="s">
        <v>136</v>
      </c>
      <c r="H40" s="20" t="s">
        <v>137</v>
      </c>
      <c r="I40" s="21" t="s">
        <v>59</v>
      </c>
      <c r="J40" s="22" t="s">
        <v>66</v>
      </c>
      <c r="K40" s="15">
        <v>2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4.5" x14ac:dyDescent="0.35">
      <c r="A41" s="7">
        <v>40</v>
      </c>
      <c r="B41" s="23" t="s">
        <v>138</v>
      </c>
      <c r="C41" s="17">
        <v>43.5</v>
      </c>
      <c r="D41" s="18">
        <v>20.010010643713915</v>
      </c>
      <c r="E41" s="19" t="s">
        <v>10</v>
      </c>
      <c r="F41" s="20" t="s">
        <v>139</v>
      </c>
      <c r="G41" s="20" t="s">
        <v>140</v>
      </c>
      <c r="H41" s="20" t="s">
        <v>141</v>
      </c>
      <c r="I41" s="21" t="s">
        <v>59</v>
      </c>
      <c r="J41" s="22" t="s">
        <v>13</v>
      </c>
      <c r="K41" s="15">
        <v>2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4.5" x14ac:dyDescent="0.35">
      <c r="A42" s="7">
        <v>41</v>
      </c>
      <c r="B42" s="23" t="s">
        <v>142</v>
      </c>
      <c r="C42" s="17">
        <v>44.9</v>
      </c>
      <c r="D42" s="18">
        <v>18.458389727010715</v>
      </c>
      <c r="E42" s="19" t="s">
        <v>10</v>
      </c>
      <c r="F42" s="20" t="s">
        <v>143</v>
      </c>
      <c r="G42" s="20">
        <v>27.716699999999999</v>
      </c>
      <c r="H42" s="20">
        <v>-29.520800000000001</v>
      </c>
      <c r="I42" s="21" t="s">
        <v>59</v>
      </c>
      <c r="J42" s="22" t="s">
        <v>13</v>
      </c>
      <c r="K42" s="15">
        <v>2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4.5" x14ac:dyDescent="0.35">
      <c r="A43" s="7">
        <v>42</v>
      </c>
      <c r="B43" s="23" t="s">
        <v>144</v>
      </c>
      <c r="C43" s="17">
        <v>48.2</v>
      </c>
      <c r="D43" s="18">
        <v>17.317585361199164</v>
      </c>
      <c r="E43" s="19" t="s">
        <v>121</v>
      </c>
      <c r="F43" s="20" t="s">
        <v>145</v>
      </c>
      <c r="G43" s="20" t="s">
        <v>146</v>
      </c>
      <c r="H43" s="20" t="s">
        <v>147</v>
      </c>
      <c r="I43" s="21" t="s">
        <v>59</v>
      </c>
      <c r="J43" s="22" t="s">
        <v>13</v>
      </c>
      <c r="K43" s="15">
        <v>2</v>
      </c>
      <c r="L43" s="15"/>
      <c r="M43" s="15"/>
    </row>
    <row r="44" spans="1:27" ht="14.5" x14ac:dyDescent="0.35">
      <c r="A44" s="7">
        <v>43</v>
      </c>
      <c r="B44" s="36" t="s">
        <v>148</v>
      </c>
      <c r="C44" s="37">
        <v>50.3</v>
      </c>
      <c r="D44" s="38">
        <v>25.417027964794372</v>
      </c>
      <c r="E44" s="39" t="s">
        <v>10</v>
      </c>
      <c r="F44" s="40" t="s">
        <v>149</v>
      </c>
      <c r="G44" s="40">
        <v>31.0672</v>
      </c>
      <c r="H44" s="40">
        <v>-17.831199999999999</v>
      </c>
      <c r="I44" s="41" t="s">
        <v>59</v>
      </c>
      <c r="J44" s="42" t="s">
        <v>66</v>
      </c>
      <c r="K44" s="15">
        <v>2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4.5" x14ac:dyDescent="0.35">
      <c r="A45" s="7">
        <v>44</v>
      </c>
      <c r="B45" s="43" t="s">
        <v>150</v>
      </c>
      <c r="C45" s="9">
        <v>25.7</v>
      </c>
      <c r="D45" s="10">
        <v>21.288592626209475</v>
      </c>
      <c r="E45" s="11" t="s">
        <v>57</v>
      </c>
      <c r="F45" s="12" t="s">
        <v>151</v>
      </c>
      <c r="G45" s="12">
        <v>28.849699999999999</v>
      </c>
      <c r="H45" s="12">
        <v>47.0167</v>
      </c>
      <c r="I45" s="13" t="s">
        <v>152</v>
      </c>
      <c r="J45" s="14" t="s">
        <v>60</v>
      </c>
      <c r="K45" s="15">
        <v>3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4.5" x14ac:dyDescent="0.35">
      <c r="A46" s="7">
        <v>45</v>
      </c>
      <c r="B46" s="23" t="s">
        <v>153</v>
      </c>
      <c r="C46" s="17">
        <v>27.9</v>
      </c>
      <c r="D46" s="18">
        <v>22.612418648789571</v>
      </c>
      <c r="E46" s="19" t="s">
        <v>57</v>
      </c>
      <c r="F46" s="20" t="s">
        <v>154</v>
      </c>
      <c r="G46" s="20" t="s">
        <v>155</v>
      </c>
      <c r="H46" s="20" t="s">
        <v>156</v>
      </c>
      <c r="I46" s="21" t="s">
        <v>152</v>
      </c>
      <c r="J46" s="22" t="s">
        <v>60</v>
      </c>
      <c r="K46" s="15">
        <v>3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4.5" x14ac:dyDescent="0.35">
      <c r="A47" s="7">
        <v>46</v>
      </c>
      <c r="B47" s="23" t="s">
        <v>157</v>
      </c>
      <c r="C47" s="17">
        <v>29.4</v>
      </c>
      <c r="D47" s="18">
        <v>19.041249462714411</v>
      </c>
      <c r="E47" s="19" t="s">
        <v>57</v>
      </c>
      <c r="F47" s="20" t="s">
        <v>158</v>
      </c>
      <c r="G47" s="20" t="s">
        <v>159</v>
      </c>
      <c r="H47" s="20" t="s">
        <v>160</v>
      </c>
      <c r="I47" s="21" t="s">
        <v>152</v>
      </c>
      <c r="J47" s="22" t="s">
        <v>60</v>
      </c>
      <c r="K47" s="15">
        <v>3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4.5" x14ac:dyDescent="0.35">
      <c r="A48" s="7">
        <v>47</v>
      </c>
      <c r="B48" s="23" t="s">
        <v>161</v>
      </c>
      <c r="C48" s="17">
        <v>33</v>
      </c>
      <c r="D48" s="18">
        <v>13.323440656052659</v>
      </c>
      <c r="E48" s="32" t="s">
        <v>57</v>
      </c>
      <c r="F48" s="20" t="s">
        <v>162</v>
      </c>
      <c r="G48" s="20" t="s">
        <v>163</v>
      </c>
      <c r="H48" s="20" t="s">
        <v>164</v>
      </c>
      <c r="I48" s="33" t="s">
        <v>152</v>
      </c>
      <c r="J48" s="34" t="s">
        <v>60</v>
      </c>
      <c r="K48" s="15">
        <v>3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4.5" x14ac:dyDescent="0.35">
      <c r="A49" s="7">
        <v>48</v>
      </c>
      <c r="B49" s="23" t="s">
        <v>165</v>
      </c>
      <c r="C49" s="17">
        <v>33.1</v>
      </c>
      <c r="D49" s="18">
        <v>20.951208884101632</v>
      </c>
      <c r="E49" s="19" t="s">
        <v>57</v>
      </c>
      <c r="F49" s="20" t="s">
        <v>166</v>
      </c>
      <c r="G49" s="20">
        <v>20.465599999999998</v>
      </c>
      <c r="H49" s="20">
        <v>44.802399999999999</v>
      </c>
      <c r="I49" s="21" t="s">
        <v>152</v>
      </c>
      <c r="J49" s="22" t="s">
        <v>60</v>
      </c>
      <c r="K49" s="15">
        <v>3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4.5" x14ac:dyDescent="0.35">
      <c r="A50" s="7">
        <v>49</v>
      </c>
      <c r="B50" s="16" t="s">
        <v>167</v>
      </c>
      <c r="C50" s="17">
        <v>33.5</v>
      </c>
      <c r="D50" s="18">
        <v>22.950744606917951</v>
      </c>
      <c r="E50" s="19" t="s">
        <v>57</v>
      </c>
      <c r="F50" s="20" t="s">
        <v>168</v>
      </c>
      <c r="G50" s="20" t="s">
        <v>169</v>
      </c>
      <c r="H50" s="20" t="s">
        <v>170</v>
      </c>
      <c r="I50" s="21" t="s">
        <v>152</v>
      </c>
      <c r="J50" s="22" t="s">
        <v>60</v>
      </c>
      <c r="K50" s="15">
        <v>3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4.5" x14ac:dyDescent="0.35">
      <c r="A51" s="7">
        <v>50</v>
      </c>
      <c r="B51" s="23" t="s">
        <v>171</v>
      </c>
      <c r="C51" s="17">
        <v>33.5</v>
      </c>
      <c r="D51" s="18">
        <v>18.964427466158885</v>
      </c>
      <c r="E51" s="19" t="s">
        <v>57</v>
      </c>
      <c r="F51" s="20" t="s">
        <v>172</v>
      </c>
      <c r="G51" s="20" t="s">
        <v>173</v>
      </c>
      <c r="H51" s="20" t="s">
        <v>174</v>
      </c>
      <c r="I51" s="21" t="s">
        <v>152</v>
      </c>
      <c r="J51" s="22" t="s">
        <v>60</v>
      </c>
      <c r="K51" s="15">
        <v>3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4.5" x14ac:dyDescent="0.35">
      <c r="A52" s="7">
        <v>51</v>
      </c>
      <c r="B52" s="23" t="s">
        <v>175</v>
      </c>
      <c r="C52" s="17">
        <v>33.700000000000003</v>
      </c>
      <c r="D52" s="18">
        <v>42.118326584359686</v>
      </c>
      <c r="E52" s="19" t="s">
        <v>77</v>
      </c>
      <c r="F52" s="20" t="s">
        <v>176</v>
      </c>
      <c r="G52" s="20" t="s">
        <v>177</v>
      </c>
      <c r="H52" s="20" t="s">
        <v>178</v>
      </c>
      <c r="I52" s="21" t="s">
        <v>152</v>
      </c>
      <c r="J52" s="22" t="s">
        <v>60</v>
      </c>
      <c r="K52" s="15">
        <v>3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4.5" x14ac:dyDescent="0.35">
      <c r="A53" s="7">
        <v>52</v>
      </c>
      <c r="B53" s="16" t="s">
        <v>179</v>
      </c>
      <c r="C53" s="17">
        <v>34.299999999999997</v>
      </c>
      <c r="D53" s="18">
        <v>42.078149195371957</v>
      </c>
      <c r="E53" s="19" t="s">
        <v>57</v>
      </c>
      <c r="F53" s="20" t="s">
        <v>180</v>
      </c>
      <c r="G53" s="20">
        <v>19.259499999999999</v>
      </c>
      <c r="H53" s="20">
        <v>42.4602</v>
      </c>
      <c r="I53" s="21" t="s">
        <v>152</v>
      </c>
      <c r="J53" s="22" t="s">
        <v>60</v>
      </c>
      <c r="K53" s="15">
        <v>3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4.5" x14ac:dyDescent="0.35">
      <c r="A54" s="7">
        <v>53</v>
      </c>
      <c r="B54" s="23" t="s">
        <v>181</v>
      </c>
      <c r="C54" s="17">
        <v>34.9</v>
      </c>
      <c r="D54" s="18">
        <v>13.777836595889282</v>
      </c>
      <c r="E54" s="19" t="s">
        <v>70</v>
      </c>
      <c r="F54" s="20" t="s">
        <v>182</v>
      </c>
      <c r="G54" s="20">
        <v>100.521</v>
      </c>
      <c r="H54" s="20">
        <v>13.7308</v>
      </c>
      <c r="I54" s="21" t="s">
        <v>152</v>
      </c>
      <c r="J54" s="22" t="s">
        <v>60</v>
      </c>
      <c r="K54" s="15">
        <v>3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4.5" x14ac:dyDescent="0.35">
      <c r="A55" s="7">
        <v>54</v>
      </c>
      <c r="B55" s="23" t="s">
        <v>183</v>
      </c>
      <c r="C55" s="17">
        <v>35.1</v>
      </c>
      <c r="D55" s="18">
        <v>17.419617559339947</v>
      </c>
      <c r="E55" s="19" t="s">
        <v>57</v>
      </c>
      <c r="F55" s="20" t="s">
        <v>184</v>
      </c>
      <c r="G55" s="20">
        <v>37.617600000000003</v>
      </c>
      <c r="H55" s="20">
        <v>55.755800000000001</v>
      </c>
      <c r="I55" s="21" t="s">
        <v>152</v>
      </c>
      <c r="J55" s="22" t="s">
        <v>60</v>
      </c>
      <c r="K55" s="15">
        <v>3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4.5" x14ac:dyDescent="0.35">
      <c r="A56" s="7">
        <v>55</v>
      </c>
      <c r="B56" s="23" t="s">
        <v>185</v>
      </c>
      <c r="C56" s="17">
        <v>36.799999999999997</v>
      </c>
      <c r="D56" s="18">
        <v>41.490492417952709</v>
      </c>
      <c r="E56" s="19" t="s">
        <v>10</v>
      </c>
      <c r="F56" s="20" t="s">
        <v>186</v>
      </c>
      <c r="G56" s="20">
        <v>57.497700000000002</v>
      </c>
      <c r="H56" s="20">
        <v>-20.160499999999999</v>
      </c>
      <c r="I56" s="21" t="s">
        <v>152</v>
      </c>
      <c r="J56" s="22" t="s">
        <v>60</v>
      </c>
      <c r="K56" s="15">
        <v>3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4.5" x14ac:dyDescent="0.35">
      <c r="A57" s="7">
        <v>56</v>
      </c>
      <c r="B57" s="23" t="s">
        <v>187</v>
      </c>
      <c r="C57" s="17">
        <v>37</v>
      </c>
      <c r="D57" s="18">
        <v>35.044481695403917</v>
      </c>
      <c r="E57" s="19" t="s">
        <v>121</v>
      </c>
      <c r="F57" s="20" t="s">
        <v>188</v>
      </c>
      <c r="G57" s="20" t="s">
        <v>189</v>
      </c>
      <c r="H57" s="20" t="s">
        <v>190</v>
      </c>
      <c r="I57" s="21" t="s">
        <v>152</v>
      </c>
      <c r="J57" s="22" t="s">
        <v>60</v>
      </c>
      <c r="K57" s="15">
        <v>3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4.5" x14ac:dyDescent="0.35">
      <c r="A58" s="7">
        <v>57</v>
      </c>
      <c r="B58" s="23" t="s">
        <v>191</v>
      </c>
      <c r="C58" s="17">
        <v>39</v>
      </c>
      <c r="D58" s="18">
        <v>12.53580470560733</v>
      </c>
      <c r="E58" s="19" t="s">
        <v>57</v>
      </c>
      <c r="F58" s="20" t="s">
        <v>192</v>
      </c>
      <c r="G58" s="20" t="s">
        <v>193</v>
      </c>
      <c r="H58" s="20" t="s">
        <v>194</v>
      </c>
      <c r="I58" s="21" t="s">
        <v>152</v>
      </c>
      <c r="J58" s="22" t="s">
        <v>60</v>
      </c>
      <c r="K58" s="15">
        <v>3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4.5" x14ac:dyDescent="0.35">
      <c r="A59" s="7">
        <v>58</v>
      </c>
      <c r="B59" s="23" t="s">
        <v>195</v>
      </c>
      <c r="C59" s="17">
        <v>40.200000000000003</v>
      </c>
      <c r="D59" s="18">
        <v>43.3342061433694</v>
      </c>
      <c r="E59" s="44" t="s">
        <v>121</v>
      </c>
      <c r="F59" s="15" t="s">
        <v>196</v>
      </c>
      <c r="G59" s="15" t="s">
        <v>197</v>
      </c>
      <c r="H59" s="15" t="s">
        <v>198</v>
      </c>
      <c r="I59" s="45" t="s">
        <v>152</v>
      </c>
      <c r="J59" s="34" t="s">
        <v>60</v>
      </c>
      <c r="K59" s="15">
        <v>3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4.5" x14ac:dyDescent="0.35">
      <c r="A60" s="7">
        <v>59</v>
      </c>
      <c r="B60" s="23" t="s">
        <v>199</v>
      </c>
      <c r="C60" s="17">
        <v>40.299999999999997</v>
      </c>
      <c r="D60" s="18">
        <v>21.281836256167871</v>
      </c>
      <c r="E60" s="32" t="s">
        <v>121</v>
      </c>
      <c r="F60" s="20" t="s">
        <v>200</v>
      </c>
      <c r="G60" s="20">
        <v>-77.046499999999995</v>
      </c>
      <c r="H60" s="20">
        <v>-12.0931</v>
      </c>
      <c r="I60" s="33" t="s">
        <v>152</v>
      </c>
      <c r="J60" s="34" t="s">
        <v>60</v>
      </c>
      <c r="K60" s="15">
        <v>3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4.5" x14ac:dyDescent="0.35">
      <c r="A61" s="7">
        <v>60</v>
      </c>
      <c r="B61" s="23" t="s">
        <v>201</v>
      </c>
      <c r="C61" s="17">
        <v>40.700000000000003</v>
      </c>
      <c r="D61" s="18">
        <v>20.252041759692098</v>
      </c>
      <c r="E61" s="32" t="s">
        <v>70</v>
      </c>
      <c r="F61" s="20" t="s">
        <v>202</v>
      </c>
      <c r="G61" s="20">
        <v>101.684</v>
      </c>
      <c r="H61" s="20">
        <v>3.1243300000000001</v>
      </c>
      <c r="I61" s="33" t="s">
        <v>152</v>
      </c>
      <c r="J61" s="34" t="s">
        <v>60</v>
      </c>
      <c r="K61" s="15">
        <v>3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4.5" x14ac:dyDescent="0.35">
      <c r="A62" s="7">
        <v>61</v>
      </c>
      <c r="B62" s="23" t="s">
        <v>203</v>
      </c>
      <c r="C62" s="17">
        <v>40.700000000000003</v>
      </c>
      <c r="D62" s="18">
        <v>50.547783580321557</v>
      </c>
      <c r="E62" s="32" t="s">
        <v>121</v>
      </c>
      <c r="F62" s="20" t="s">
        <v>204</v>
      </c>
      <c r="G62" s="20" t="s">
        <v>205</v>
      </c>
      <c r="H62" s="20" t="s">
        <v>206</v>
      </c>
      <c r="I62" s="33" t="s">
        <v>152</v>
      </c>
      <c r="J62" s="34" t="s">
        <v>60</v>
      </c>
      <c r="K62" s="15">
        <v>3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4.5" x14ac:dyDescent="0.35">
      <c r="A63" s="7">
        <v>62</v>
      </c>
      <c r="B63" s="23" t="s">
        <v>207</v>
      </c>
      <c r="C63" s="17">
        <v>43.5</v>
      </c>
      <c r="D63" s="18">
        <v>23.42404911339629</v>
      </c>
      <c r="E63" s="32" t="s">
        <v>121</v>
      </c>
      <c r="F63" s="20" t="s">
        <v>208</v>
      </c>
      <c r="G63" s="20">
        <v>-99.127600000000001</v>
      </c>
      <c r="H63" s="20">
        <v>19.427</v>
      </c>
      <c r="I63" s="33" t="s">
        <v>152</v>
      </c>
      <c r="J63" s="34" t="s">
        <v>60</v>
      </c>
      <c r="K63" s="15">
        <v>3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4.5" x14ac:dyDescent="0.35">
      <c r="A64" s="7">
        <v>63</v>
      </c>
      <c r="B64" s="23" t="s">
        <v>209</v>
      </c>
      <c r="C64" s="17">
        <v>44.4</v>
      </c>
      <c r="D64" s="18">
        <v>9.9150499192369157</v>
      </c>
      <c r="E64" s="19" t="s">
        <v>57</v>
      </c>
      <c r="F64" s="20" t="s">
        <v>210</v>
      </c>
      <c r="G64" s="20">
        <v>32.360599999999998</v>
      </c>
      <c r="H64" s="20">
        <v>39.715299999999999</v>
      </c>
      <c r="I64" s="21" t="s">
        <v>152</v>
      </c>
      <c r="J64" s="22" t="s">
        <v>60</v>
      </c>
      <c r="K64" s="15">
        <v>3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4.5" x14ac:dyDescent="0.35">
      <c r="A65" s="7">
        <v>64</v>
      </c>
      <c r="B65" s="23" t="s">
        <v>211</v>
      </c>
      <c r="C65" s="17">
        <v>44.6</v>
      </c>
      <c r="D65" s="18">
        <v>21.021164027142913</v>
      </c>
      <c r="E65" s="32" t="s">
        <v>121</v>
      </c>
      <c r="F65" s="20" t="s">
        <v>212</v>
      </c>
      <c r="G65" s="20" t="s">
        <v>213</v>
      </c>
      <c r="H65" s="20" t="s">
        <v>214</v>
      </c>
      <c r="I65" s="33" t="s">
        <v>152</v>
      </c>
      <c r="J65" s="34" t="s">
        <v>60</v>
      </c>
      <c r="K65" s="15">
        <v>3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4.5" x14ac:dyDescent="0.35">
      <c r="A66" s="7">
        <v>65</v>
      </c>
      <c r="B66" s="23" t="s">
        <v>215</v>
      </c>
      <c r="C66" s="17">
        <v>45</v>
      </c>
      <c r="D66" s="18">
        <v>24.858202956555271</v>
      </c>
      <c r="E66" s="32" t="s">
        <v>121</v>
      </c>
      <c r="F66" s="20" t="s">
        <v>216</v>
      </c>
      <c r="G66" s="20" t="s">
        <v>217</v>
      </c>
      <c r="H66" s="20" t="s">
        <v>218</v>
      </c>
      <c r="I66" s="33" t="s">
        <v>152</v>
      </c>
      <c r="J66" s="34" t="s">
        <v>13</v>
      </c>
      <c r="K66" s="15">
        <v>3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4.5" x14ac:dyDescent="0.35">
      <c r="A67" s="7">
        <v>66</v>
      </c>
      <c r="B67" s="23" t="s">
        <v>219</v>
      </c>
      <c r="C67" s="17">
        <v>45.1</v>
      </c>
      <c r="D67" s="18">
        <v>20.128226614716286</v>
      </c>
      <c r="E67" s="32" t="s">
        <v>121</v>
      </c>
      <c r="F67" s="20" t="s">
        <v>220</v>
      </c>
      <c r="G67" s="20">
        <v>-57.636200000000002</v>
      </c>
      <c r="H67" s="20">
        <v>-25.3005</v>
      </c>
      <c r="I67" s="33" t="s">
        <v>152</v>
      </c>
      <c r="J67" s="34" t="s">
        <v>60</v>
      </c>
      <c r="K67" s="15">
        <v>3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4.5" x14ac:dyDescent="0.35">
      <c r="A68" s="7">
        <v>67</v>
      </c>
      <c r="B68" s="23" t="s">
        <v>221</v>
      </c>
      <c r="C68" s="17">
        <v>46.7</v>
      </c>
      <c r="D68" s="18">
        <v>44.535865725607486</v>
      </c>
      <c r="E68" s="44" t="s">
        <v>121</v>
      </c>
      <c r="F68" s="15" t="s">
        <v>222</v>
      </c>
      <c r="G68" s="15" t="s">
        <v>223</v>
      </c>
      <c r="H68" s="15" t="s">
        <v>224</v>
      </c>
      <c r="I68" s="45" t="s">
        <v>152</v>
      </c>
      <c r="J68" s="34" t="s">
        <v>60</v>
      </c>
      <c r="K68" s="15">
        <v>3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4.5" x14ac:dyDescent="0.35">
      <c r="A69" s="7">
        <v>68</v>
      </c>
      <c r="B69" s="23" t="s">
        <v>225</v>
      </c>
      <c r="C69" s="17">
        <v>48.3</v>
      </c>
      <c r="D69" s="18">
        <v>17.402441240315614</v>
      </c>
      <c r="E69" s="19" t="s">
        <v>121</v>
      </c>
      <c r="F69" s="20" t="s">
        <v>226</v>
      </c>
      <c r="G69" s="20" t="s">
        <v>227</v>
      </c>
      <c r="H69" s="20" t="s">
        <v>228</v>
      </c>
      <c r="I69" s="21" t="s">
        <v>152</v>
      </c>
      <c r="J69" s="22" t="s">
        <v>60</v>
      </c>
      <c r="K69" s="15">
        <v>3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4.5" x14ac:dyDescent="0.35">
      <c r="A70" s="7">
        <v>69</v>
      </c>
      <c r="B70" s="23" t="s">
        <v>229</v>
      </c>
      <c r="C70" s="17">
        <v>52</v>
      </c>
      <c r="D70" s="18">
        <v>21.807634169918206</v>
      </c>
      <c r="E70" s="19" t="s">
        <v>121</v>
      </c>
      <c r="F70" s="20" t="s">
        <v>230</v>
      </c>
      <c r="G70" s="20" t="s">
        <v>231</v>
      </c>
      <c r="H70" s="20" t="s">
        <v>232</v>
      </c>
      <c r="I70" s="21" t="s">
        <v>152</v>
      </c>
      <c r="J70" s="22" t="s">
        <v>60</v>
      </c>
      <c r="K70" s="15">
        <v>3</v>
      </c>
      <c r="L70" s="15"/>
      <c r="M70" s="15"/>
    </row>
    <row r="71" spans="1:27" ht="14.5" x14ac:dyDescent="0.35">
      <c r="A71" s="7">
        <v>70</v>
      </c>
      <c r="B71" s="23" t="s">
        <v>233</v>
      </c>
      <c r="C71" s="17">
        <v>53.3</v>
      </c>
      <c r="D71" s="18">
        <v>55.563597741150716</v>
      </c>
      <c r="E71" s="44" t="s">
        <v>10</v>
      </c>
      <c r="F71" s="15" t="s">
        <v>234</v>
      </c>
      <c r="G71" s="15" t="s">
        <v>235</v>
      </c>
      <c r="H71" s="15" t="s">
        <v>236</v>
      </c>
      <c r="I71" s="45" t="s">
        <v>152</v>
      </c>
      <c r="J71" s="34" t="s">
        <v>60</v>
      </c>
      <c r="K71" s="15">
        <v>3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4.5" x14ac:dyDescent="0.35">
      <c r="A72" s="7">
        <v>71</v>
      </c>
      <c r="B72" s="23" t="s">
        <v>237</v>
      </c>
      <c r="C72" s="17">
        <v>54.8</v>
      </c>
      <c r="D72" s="18">
        <v>23.802037349604866</v>
      </c>
      <c r="E72" s="19" t="s">
        <v>121</v>
      </c>
      <c r="F72" s="15" t="s">
        <v>238</v>
      </c>
      <c r="G72" s="15" t="s">
        <v>239</v>
      </c>
      <c r="H72" s="15" t="s">
        <v>240</v>
      </c>
      <c r="I72" s="45" t="s">
        <v>152</v>
      </c>
      <c r="J72" s="34" t="s">
        <v>60</v>
      </c>
      <c r="K72" s="15">
        <v>3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4.5" x14ac:dyDescent="0.35">
      <c r="A73" s="7">
        <v>72</v>
      </c>
      <c r="B73" s="23" t="s">
        <v>241</v>
      </c>
      <c r="C73" s="17">
        <v>59.1</v>
      </c>
      <c r="D73" s="18">
        <v>33.875980238841983</v>
      </c>
      <c r="E73" s="19" t="s">
        <v>10</v>
      </c>
      <c r="F73" s="15" t="s">
        <v>242</v>
      </c>
      <c r="G73" s="15">
        <v>17.0931</v>
      </c>
      <c r="H73" s="15">
        <v>-22.564800000000002</v>
      </c>
      <c r="I73" s="45" t="s">
        <v>152</v>
      </c>
      <c r="J73" s="34" t="s">
        <v>60</v>
      </c>
      <c r="K73" s="15">
        <v>3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4.5" x14ac:dyDescent="0.35">
      <c r="A74" s="7">
        <v>73</v>
      </c>
      <c r="B74" s="23" t="s">
        <v>243</v>
      </c>
      <c r="C74" s="17">
        <v>63</v>
      </c>
      <c r="D74" s="18">
        <v>31.910535827635012</v>
      </c>
      <c r="E74" s="19" t="s">
        <v>10</v>
      </c>
      <c r="F74" s="20" t="s">
        <v>244</v>
      </c>
      <c r="G74" s="20">
        <v>28.187100000000001</v>
      </c>
      <c r="H74" s="20">
        <v>-25.745999999999999</v>
      </c>
      <c r="I74" s="21" t="s">
        <v>152</v>
      </c>
      <c r="J74" s="22" t="s">
        <v>60</v>
      </c>
      <c r="K74" s="15">
        <v>3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4.5" x14ac:dyDescent="0.35">
      <c r="A75" s="7">
        <v>74</v>
      </c>
      <c r="B75" s="23" t="s">
        <v>245</v>
      </c>
      <c r="C75" s="17">
        <v>24.1</v>
      </c>
      <c r="D75" s="18">
        <v>14.833778689882136</v>
      </c>
      <c r="E75" s="19" t="s">
        <v>57</v>
      </c>
      <c r="F75" s="20" t="s">
        <v>246</v>
      </c>
      <c r="G75" s="20">
        <v>17.107299999999999</v>
      </c>
      <c r="H75" s="20">
        <v>48.148400000000002</v>
      </c>
      <c r="I75" s="21" t="s">
        <v>247</v>
      </c>
      <c r="J75" s="22" t="s">
        <v>248</v>
      </c>
      <c r="K75" s="15">
        <v>4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4.5" x14ac:dyDescent="0.35">
      <c r="A76" s="7">
        <v>75</v>
      </c>
      <c r="B76" s="23" t="s">
        <v>249</v>
      </c>
      <c r="C76" s="17">
        <v>24.3</v>
      </c>
      <c r="D76" s="18">
        <v>30.694282668598646</v>
      </c>
      <c r="E76" s="19" t="s">
        <v>57</v>
      </c>
      <c r="F76" s="20" t="s">
        <v>250</v>
      </c>
      <c r="G76" s="20">
        <v>14.5044</v>
      </c>
      <c r="H76" s="20">
        <v>46.054600000000001</v>
      </c>
      <c r="I76" s="21" t="s">
        <v>247</v>
      </c>
      <c r="J76" s="22" t="s">
        <v>248</v>
      </c>
      <c r="K76" s="15">
        <v>4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4.5" x14ac:dyDescent="0.35">
      <c r="A77" s="7">
        <v>76</v>
      </c>
      <c r="B77" s="23" t="s">
        <v>251</v>
      </c>
      <c r="C77" s="17">
        <v>25.7</v>
      </c>
      <c r="D77" s="18">
        <v>107.25546998753779</v>
      </c>
      <c r="E77" s="19" t="s">
        <v>57</v>
      </c>
      <c r="F77" s="20" t="s">
        <v>252</v>
      </c>
      <c r="G77" s="20">
        <v>4.8909500000000001</v>
      </c>
      <c r="H77" s="20">
        <v>52.373800000000003</v>
      </c>
      <c r="I77" s="21" t="s">
        <v>247</v>
      </c>
      <c r="J77" s="22" t="s">
        <v>248</v>
      </c>
      <c r="K77" s="15">
        <v>4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4.5" x14ac:dyDescent="0.35">
      <c r="A78" s="7">
        <v>77</v>
      </c>
      <c r="B78" s="23" t="s">
        <v>253</v>
      </c>
      <c r="C78" s="17">
        <v>26.2</v>
      </c>
      <c r="D78" s="18">
        <v>14.294633503519256</v>
      </c>
      <c r="E78" s="19" t="s">
        <v>57</v>
      </c>
      <c r="F78" s="20" t="s">
        <v>254</v>
      </c>
      <c r="G78" s="20"/>
      <c r="H78" s="20"/>
      <c r="I78" s="21" t="s">
        <v>247</v>
      </c>
      <c r="J78" s="22"/>
      <c r="K78" s="15">
        <v>4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4.5" x14ac:dyDescent="0.35">
      <c r="A79" s="7">
        <v>78</v>
      </c>
      <c r="B79" s="23" t="s">
        <v>255</v>
      </c>
      <c r="C79" s="17">
        <v>26.6</v>
      </c>
      <c r="D79" s="18">
        <v>62.145753480414136</v>
      </c>
      <c r="E79" s="19" t="s">
        <v>57</v>
      </c>
      <c r="F79" s="20" t="s">
        <v>256</v>
      </c>
      <c r="G79" s="20" t="s">
        <v>257</v>
      </c>
      <c r="H79" s="20" t="s">
        <v>258</v>
      </c>
      <c r="I79" s="21" t="s">
        <v>247</v>
      </c>
      <c r="J79" s="22" t="s">
        <v>248</v>
      </c>
      <c r="K79" s="15">
        <v>4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4.5" x14ac:dyDescent="0.35">
      <c r="A80" s="7">
        <v>79</v>
      </c>
      <c r="B80" s="23" t="s">
        <v>259</v>
      </c>
      <c r="C80" s="17">
        <v>27.7</v>
      </c>
      <c r="D80" s="18">
        <v>69.04753881349825</v>
      </c>
      <c r="E80" s="32" t="s">
        <v>57</v>
      </c>
      <c r="F80" s="20" t="s">
        <v>260</v>
      </c>
      <c r="G80" s="20" t="s">
        <v>261</v>
      </c>
      <c r="H80" s="22" t="s">
        <v>262</v>
      </c>
      <c r="I80" s="45" t="s">
        <v>247</v>
      </c>
      <c r="J80" s="34" t="s">
        <v>248</v>
      </c>
      <c r="K80" s="15">
        <v>4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4.5" x14ac:dyDescent="0.35">
      <c r="A81" s="7">
        <v>80</v>
      </c>
      <c r="B81" s="23" t="s">
        <v>263</v>
      </c>
      <c r="C81" s="17">
        <v>27.7</v>
      </c>
      <c r="D81" s="18">
        <v>104.65044314225703</v>
      </c>
      <c r="E81" s="32" t="s">
        <v>57</v>
      </c>
      <c r="F81" s="20" t="s">
        <v>264</v>
      </c>
      <c r="G81" s="20">
        <v>10.7387</v>
      </c>
      <c r="H81" s="20">
        <v>59.913800000000002</v>
      </c>
      <c r="I81" s="33" t="s">
        <v>247</v>
      </c>
      <c r="J81" s="34" t="s">
        <v>248</v>
      </c>
      <c r="K81" s="15">
        <v>4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4.5" x14ac:dyDescent="0.35">
      <c r="A82" s="7">
        <v>81</v>
      </c>
      <c r="B82" s="23" t="s">
        <v>265</v>
      </c>
      <c r="C82" s="17">
        <v>28.3</v>
      </c>
      <c r="D82" s="18">
        <v>79.841841966882811</v>
      </c>
      <c r="E82" s="19" t="s">
        <v>57</v>
      </c>
      <c r="F82" s="20" t="s">
        <v>266</v>
      </c>
      <c r="G82" s="20" t="s">
        <v>267</v>
      </c>
      <c r="H82" s="20" t="s">
        <v>268</v>
      </c>
      <c r="I82" s="21" t="s">
        <v>247</v>
      </c>
      <c r="J82" s="22" t="s">
        <v>248</v>
      </c>
      <c r="K82" s="15">
        <v>4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4.5" x14ac:dyDescent="0.35">
      <c r="A83" s="7">
        <v>82</v>
      </c>
      <c r="B83" s="23" t="s">
        <v>269</v>
      </c>
      <c r="C83" s="17">
        <v>28.5</v>
      </c>
      <c r="D83" s="18">
        <v>17.904767653815398</v>
      </c>
      <c r="E83" s="19" t="s">
        <v>57</v>
      </c>
      <c r="F83" s="20" t="s">
        <v>270</v>
      </c>
      <c r="G83" s="20">
        <v>21.02</v>
      </c>
      <c r="H83" s="20">
        <v>52.26</v>
      </c>
      <c r="I83" s="21" t="s">
        <v>247</v>
      </c>
      <c r="J83" s="22" t="s">
        <v>60</v>
      </c>
      <c r="K83" s="15">
        <v>4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4.5" x14ac:dyDescent="0.35">
      <c r="A84" s="7">
        <v>83</v>
      </c>
      <c r="B84" s="46" t="s">
        <v>271</v>
      </c>
      <c r="C84" s="47">
        <v>28.9</v>
      </c>
      <c r="D84" s="18">
        <v>28.387020129154564</v>
      </c>
      <c r="E84" s="19" t="s">
        <v>57</v>
      </c>
      <c r="F84" s="20" t="s">
        <v>272</v>
      </c>
      <c r="G84" s="20" t="s">
        <v>273</v>
      </c>
      <c r="H84" s="20" t="s">
        <v>274</v>
      </c>
      <c r="I84" s="21" t="s">
        <v>247</v>
      </c>
      <c r="J84" s="22" t="s">
        <v>60</v>
      </c>
      <c r="K84" s="15">
        <v>4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4.5" x14ac:dyDescent="0.35">
      <c r="A85" s="7">
        <v>84</v>
      </c>
      <c r="B85" s="23" t="s">
        <v>275</v>
      </c>
      <c r="C85" s="17">
        <v>29.2</v>
      </c>
      <c r="D85" s="18">
        <v>13.608508956297177</v>
      </c>
      <c r="E85" s="19" t="s">
        <v>57</v>
      </c>
      <c r="F85" s="20" t="s">
        <v>276</v>
      </c>
      <c r="G85" s="20" t="s">
        <v>277</v>
      </c>
      <c r="H85" s="20" t="s">
        <v>278</v>
      </c>
      <c r="I85" s="21" t="s">
        <v>247</v>
      </c>
      <c r="J85" s="22" t="s">
        <v>248</v>
      </c>
      <c r="K85" s="15">
        <v>4</v>
      </c>
      <c r="L85" s="15"/>
      <c r="M85" s="15"/>
    </row>
    <row r="86" spans="1:27" ht="14.5" x14ac:dyDescent="0.35">
      <c r="A86" s="7">
        <v>85</v>
      </c>
      <c r="B86" s="23" t="s">
        <v>279</v>
      </c>
      <c r="C86" s="17">
        <v>29.8</v>
      </c>
      <c r="D86" s="18">
        <v>112.27359313902183</v>
      </c>
      <c r="E86" s="19" t="s">
        <v>57</v>
      </c>
      <c r="F86" s="20" t="s">
        <v>280</v>
      </c>
      <c r="G86" s="20">
        <v>18.064499999999999</v>
      </c>
      <c r="H86" s="20">
        <v>59.332700000000003</v>
      </c>
      <c r="I86" s="21" t="s">
        <v>247</v>
      </c>
      <c r="J86" s="22" t="s">
        <v>248</v>
      </c>
      <c r="K86" s="15">
        <v>4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4.5" x14ac:dyDescent="0.35">
      <c r="A87" s="7">
        <v>86</v>
      </c>
      <c r="B87" s="23" t="s">
        <v>281</v>
      </c>
      <c r="C87" s="17">
        <v>30.1</v>
      </c>
      <c r="D87" s="18">
        <v>61.246774825502229</v>
      </c>
      <c r="E87" s="19" t="s">
        <v>57</v>
      </c>
      <c r="F87" s="20" t="s">
        <v>282</v>
      </c>
      <c r="G87" s="20" t="s">
        <v>283</v>
      </c>
      <c r="H87" s="20" t="s">
        <v>284</v>
      </c>
      <c r="I87" s="21" t="s">
        <v>247</v>
      </c>
      <c r="J87" s="22" t="s">
        <v>248</v>
      </c>
      <c r="K87" s="15">
        <v>4</v>
      </c>
      <c r="L87" s="15"/>
      <c r="M87" s="15"/>
    </row>
    <row r="88" spans="1:27" ht="14.5" x14ac:dyDescent="0.35">
      <c r="A88" s="7">
        <v>87</v>
      </c>
      <c r="B88" s="23" t="s">
        <v>285</v>
      </c>
      <c r="C88" s="17">
        <v>30.7</v>
      </c>
      <c r="D88" s="18">
        <v>86.49824817102261</v>
      </c>
      <c r="E88" s="19" t="s">
        <v>57</v>
      </c>
      <c r="F88" s="20" t="s">
        <v>286</v>
      </c>
      <c r="G88" s="20" t="s">
        <v>287</v>
      </c>
      <c r="H88" s="20" t="s">
        <v>288</v>
      </c>
      <c r="I88" s="21" t="s">
        <v>247</v>
      </c>
      <c r="J88" s="22" t="s">
        <v>248</v>
      </c>
      <c r="K88" s="15">
        <v>4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4.5" x14ac:dyDescent="0.35">
      <c r="A89" s="7">
        <v>88</v>
      </c>
      <c r="B89" s="23" t="s">
        <v>289</v>
      </c>
      <c r="C89" s="17">
        <v>31.3</v>
      </c>
      <c r="D89" s="18">
        <v>86.518520873332619</v>
      </c>
      <c r="E89" s="19" t="s">
        <v>57</v>
      </c>
      <c r="F89" s="20" t="s">
        <v>290</v>
      </c>
      <c r="G89" s="20" t="s">
        <v>291</v>
      </c>
      <c r="H89" s="20" t="s">
        <v>292</v>
      </c>
      <c r="I89" s="21" t="s">
        <v>247</v>
      </c>
      <c r="J89" s="22" t="s">
        <v>248</v>
      </c>
      <c r="K89" s="15">
        <v>4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4.5" x14ac:dyDescent="0.35">
      <c r="A90" s="7">
        <v>89</v>
      </c>
      <c r="B90" s="23" t="s">
        <v>293</v>
      </c>
      <c r="C90" s="17">
        <v>31.5</v>
      </c>
      <c r="D90" s="18">
        <v>68.256248706924055</v>
      </c>
      <c r="E90" s="19" t="s">
        <v>57</v>
      </c>
      <c r="F90" s="20" t="s">
        <v>294</v>
      </c>
      <c r="G90" s="20" t="s">
        <v>295</v>
      </c>
      <c r="H90" s="20" t="s">
        <v>296</v>
      </c>
      <c r="I90" s="21" t="s">
        <v>247</v>
      </c>
      <c r="J90" s="22" t="s">
        <v>248</v>
      </c>
      <c r="K90" s="15">
        <v>4</v>
      </c>
      <c r="L90" s="15"/>
      <c r="M90" s="15"/>
    </row>
    <row r="91" spans="1:27" ht="14.5" x14ac:dyDescent="0.35">
      <c r="A91" s="7">
        <v>90</v>
      </c>
      <c r="B91" s="23" t="s">
        <v>297</v>
      </c>
      <c r="C91" s="17">
        <v>31.7</v>
      </c>
      <c r="D91" s="18">
        <v>75.539514581886337</v>
      </c>
      <c r="E91" s="19" t="s">
        <v>298</v>
      </c>
      <c r="F91" s="20" t="s">
        <v>299</v>
      </c>
      <c r="G91" s="20" t="s">
        <v>300</v>
      </c>
      <c r="H91" s="20" t="s">
        <v>301</v>
      </c>
      <c r="I91" s="21" t="s">
        <v>247</v>
      </c>
      <c r="J91" s="22" t="s">
        <v>248</v>
      </c>
      <c r="K91" s="15">
        <v>4</v>
      </c>
      <c r="L91" s="15"/>
      <c r="M91" s="15"/>
    </row>
    <row r="92" spans="1:27" ht="14.5" x14ac:dyDescent="0.35">
      <c r="A92" s="7">
        <v>91</v>
      </c>
      <c r="B92" s="23" t="s">
        <v>302</v>
      </c>
      <c r="C92" s="17">
        <v>31.8</v>
      </c>
      <c r="D92" s="18">
        <v>26.937717301503742</v>
      </c>
      <c r="E92" s="19" t="s">
        <v>57</v>
      </c>
      <c r="F92" s="20" t="s">
        <v>303</v>
      </c>
      <c r="G92" s="20" t="s">
        <v>304</v>
      </c>
      <c r="H92" s="20" t="s">
        <v>305</v>
      </c>
      <c r="I92" s="21" t="s">
        <v>247</v>
      </c>
      <c r="J92" s="22" t="s">
        <v>248</v>
      </c>
      <c r="K92" s="15">
        <v>4</v>
      </c>
      <c r="L92" s="15"/>
      <c r="M92" s="15"/>
    </row>
    <row r="93" spans="1:27" ht="14.5" x14ac:dyDescent="0.35">
      <c r="A93" s="7">
        <v>92</v>
      </c>
      <c r="B93" s="23" t="s">
        <v>306</v>
      </c>
      <c r="C93" s="17">
        <v>32.4</v>
      </c>
      <c r="D93" s="18">
        <v>59.677484133199314</v>
      </c>
      <c r="E93" s="19" t="s">
        <v>57</v>
      </c>
      <c r="F93" s="20" t="s">
        <v>307</v>
      </c>
      <c r="G93" s="20" t="s">
        <v>308</v>
      </c>
      <c r="H93" s="20" t="s">
        <v>309</v>
      </c>
      <c r="I93" s="21" t="s">
        <v>247</v>
      </c>
      <c r="J93" s="22" t="s">
        <v>248</v>
      </c>
      <c r="K93" s="15">
        <v>4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4.5" x14ac:dyDescent="0.35">
      <c r="A94" s="7">
        <v>93</v>
      </c>
      <c r="B94" s="23" t="s">
        <v>310</v>
      </c>
      <c r="C94" s="17">
        <v>32.4</v>
      </c>
      <c r="D94" s="18">
        <v>78.217314487905242</v>
      </c>
      <c r="E94" s="19" t="s">
        <v>57</v>
      </c>
      <c r="F94" s="20" t="s">
        <v>311</v>
      </c>
      <c r="G94" s="20">
        <v>-0.12623599999999999</v>
      </c>
      <c r="H94" s="20">
        <v>51.5002</v>
      </c>
      <c r="I94" s="21" t="s">
        <v>247</v>
      </c>
      <c r="J94" s="22" t="s">
        <v>248</v>
      </c>
      <c r="K94" s="15">
        <v>4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4.5" x14ac:dyDescent="0.35">
      <c r="A95" s="7">
        <v>94</v>
      </c>
      <c r="B95" s="23" t="s">
        <v>312</v>
      </c>
      <c r="C95" s="17">
        <v>32.700000000000003</v>
      </c>
      <c r="D95" s="18">
        <v>117.83967082171201</v>
      </c>
      <c r="E95" s="19" t="s">
        <v>57</v>
      </c>
      <c r="F95" s="20" t="s">
        <v>312</v>
      </c>
      <c r="G95" s="20">
        <v>6.1295999999999999</v>
      </c>
      <c r="H95" s="20">
        <v>49.61</v>
      </c>
      <c r="I95" s="21" t="s">
        <v>247</v>
      </c>
      <c r="J95" s="22" t="s">
        <v>248</v>
      </c>
      <c r="K95" s="15">
        <v>4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4.5" x14ac:dyDescent="0.35">
      <c r="A96" s="7">
        <v>95</v>
      </c>
      <c r="B96" s="16" t="s">
        <v>313</v>
      </c>
      <c r="C96" s="17">
        <v>32.9</v>
      </c>
      <c r="D96" s="18">
        <v>45.878998688505604</v>
      </c>
      <c r="E96" s="19" t="s">
        <v>70</v>
      </c>
      <c r="F96" s="20" t="s">
        <v>314</v>
      </c>
      <c r="G96" s="20" t="s">
        <v>315</v>
      </c>
      <c r="H96" s="20" t="s">
        <v>316</v>
      </c>
      <c r="I96" s="21" t="s">
        <v>247</v>
      </c>
      <c r="J96" s="22" t="s">
        <v>248</v>
      </c>
      <c r="K96" s="15">
        <v>4</v>
      </c>
      <c r="L96" s="15"/>
      <c r="M96" s="15"/>
    </row>
    <row r="97" spans="1:27" ht="14.5" x14ac:dyDescent="0.35">
      <c r="A97" s="7">
        <v>96</v>
      </c>
      <c r="B97" s="23" t="s">
        <v>317</v>
      </c>
      <c r="C97" s="17">
        <v>32.9</v>
      </c>
      <c r="D97" s="18">
        <v>33.793884097716102</v>
      </c>
      <c r="E97" s="19" t="s">
        <v>70</v>
      </c>
      <c r="F97" s="20" t="s">
        <v>318</v>
      </c>
      <c r="G97" s="20" t="s">
        <v>319</v>
      </c>
      <c r="H97" s="20" t="s">
        <v>320</v>
      </c>
      <c r="I97" s="21" t="s">
        <v>247</v>
      </c>
      <c r="J97" s="22" t="s">
        <v>248</v>
      </c>
      <c r="K97" s="15">
        <v>4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4.5" x14ac:dyDescent="0.35">
      <c r="A98" s="7">
        <v>97</v>
      </c>
      <c r="B98" s="23" t="s">
        <v>321</v>
      </c>
      <c r="C98" s="17">
        <v>32.9</v>
      </c>
      <c r="D98" s="18">
        <v>76.526610756884153</v>
      </c>
      <c r="E98" s="19" t="s">
        <v>57</v>
      </c>
      <c r="F98" s="20" t="s">
        <v>322</v>
      </c>
      <c r="G98" s="20" t="s">
        <v>323</v>
      </c>
      <c r="H98" s="20" t="s">
        <v>324</v>
      </c>
      <c r="I98" s="21" t="s">
        <v>247</v>
      </c>
      <c r="J98" s="22" t="s">
        <v>248</v>
      </c>
      <c r="K98" s="15">
        <v>4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4.5" x14ac:dyDescent="0.35">
      <c r="A99" s="7">
        <v>98</v>
      </c>
      <c r="B99" s="23" t="s">
        <v>325</v>
      </c>
      <c r="C99" s="17">
        <v>33.700000000000003</v>
      </c>
      <c r="D99" s="18">
        <v>68.548770923647879</v>
      </c>
      <c r="E99" s="19" t="s">
        <v>57</v>
      </c>
      <c r="F99" s="20" t="s">
        <v>326</v>
      </c>
      <c r="G99" s="20">
        <v>7.4482100000000004</v>
      </c>
      <c r="H99" s="20">
        <v>46.948</v>
      </c>
      <c r="I99" s="21" t="s">
        <v>247</v>
      </c>
      <c r="J99" s="22" t="s">
        <v>248</v>
      </c>
      <c r="K99" s="15">
        <v>4</v>
      </c>
      <c r="L99" s="15"/>
      <c r="M99" s="15"/>
    </row>
    <row r="100" spans="1:27" ht="14.5" x14ac:dyDescent="0.35">
      <c r="A100" s="7">
        <v>99</v>
      </c>
      <c r="B100" s="23" t="s">
        <v>327</v>
      </c>
      <c r="C100" s="17">
        <v>33.9</v>
      </c>
      <c r="D100" s="18">
        <v>11.905641619644847</v>
      </c>
      <c r="E100" s="19" t="s">
        <v>57</v>
      </c>
      <c r="F100" s="20" t="s">
        <v>328</v>
      </c>
      <c r="G100" s="20">
        <v>26.097899999999999</v>
      </c>
      <c r="H100" s="20">
        <v>44.447899999999997</v>
      </c>
      <c r="I100" s="21" t="s">
        <v>247</v>
      </c>
      <c r="J100" s="22" t="s">
        <v>60</v>
      </c>
      <c r="K100" s="15">
        <v>4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4.5" x14ac:dyDescent="0.35">
      <c r="A101" s="7">
        <v>100</v>
      </c>
      <c r="B101" s="23" t="s">
        <v>329</v>
      </c>
      <c r="C101" s="17">
        <v>33.9</v>
      </c>
      <c r="D101" s="18">
        <v>43.040706902954867</v>
      </c>
      <c r="E101" s="19" t="s">
        <v>57</v>
      </c>
      <c r="F101" s="20" t="s">
        <v>330</v>
      </c>
      <c r="G101" s="20">
        <v>-3.7032699999999998</v>
      </c>
      <c r="H101" s="20">
        <v>40.416699999999999</v>
      </c>
      <c r="I101" s="21" t="s">
        <v>247</v>
      </c>
      <c r="J101" s="22" t="s">
        <v>248</v>
      </c>
      <c r="K101" s="15">
        <v>4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4.5" x14ac:dyDescent="0.35">
      <c r="A102" s="7">
        <v>101</v>
      </c>
      <c r="B102" s="16" t="s">
        <v>331</v>
      </c>
      <c r="C102" s="17">
        <v>34.299999999999997</v>
      </c>
      <c r="D102" s="18">
        <v>74.434694910221964</v>
      </c>
      <c r="E102" s="19" t="s">
        <v>70</v>
      </c>
      <c r="F102" s="20" t="s">
        <v>332</v>
      </c>
      <c r="G102" s="20" t="s">
        <v>333</v>
      </c>
      <c r="H102" s="20" t="s">
        <v>334</v>
      </c>
      <c r="I102" s="21" t="s">
        <v>247</v>
      </c>
      <c r="J102" s="22" t="s">
        <v>248</v>
      </c>
      <c r="K102" s="15">
        <v>4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4.5" x14ac:dyDescent="0.35">
      <c r="A103" s="7">
        <v>102</v>
      </c>
      <c r="B103" s="23" t="s">
        <v>335</v>
      </c>
      <c r="C103" s="17">
        <v>34.299999999999997</v>
      </c>
      <c r="D103" s="18">
        <v>27.63750775347302</v>
      </c>
      <c r="E103" s="19" t="s">
        <v>57</v>
      </c>
      <c r="F103" s="20" t="s">
        <v>336</v>
      </c>
      <c r="G103" s="20">
        <v>24.104800000000001</v>
      </c>
      <c r="H103" s="20">
        <v>56.9465</v>
      </c>
      <c r="I103" s="21" t="s">
        <v>247</v>
      </c>
      <c r="J103" s="22" t="s">
        <v>248</v>
      </c>
      <c r="K103" s="15">
        <v>4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4.5" x14ac:dyDescent="0.35">
      <c r="A104" s="7">
        <v>103</v>
      </c>
      <c r="B104" s="23" t="s">
        <v>337</v>
      </c>
      <c r="C104" s="17">
        <v>34.6</v>
      </c>
      <c r="D104" s="18">
        <v>33.709924736634434</v>
      </c>
      <c r="E104" s="19" t="s">
        <v>57</v>
      </c>
      <c r="F104" s="20" t="s">
        <v>338</v>
      </c>
      <c r="G104" s="20">
        <v>-9.1355199999999996</v>
      </c>
      <c r="H104" s="20">
        <v>38.7072</v>
      </c>
      <c r="I104" s="21" t="s">
        <v>247</v>
      </c>
      <c r="J104" s="22" t="s">
        <v>248</v>
      </c>
      <c r="K104" s="15">
        <v>4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4.5" x14ac:dyDescent="0.35">
      <c r="A105" s="7">
        <v>104</v>
      </c>
      <c r="B105" s="23" t="s">
        <v>339</v>
      </c>
      <c r="C105" s="17">
        <v>34.799999999999997</v>
      </c>
      <c r="D105" s="18">
        <v>53.056424264638075</v>
      </c>
      <c r="E105" s="32" t="s">
        <v>57</v>
      </c>
      <c r="F105" s="20" t="s">
        <v>340</v>
      </c>
      <c r="G105" s="20" t="s">
        <v>341</v>
      </c>
      <c r="H105" s="20" t="s">
        <v>342</v>
      </c>
      <c r="I105" s="33" t="s">
        <v>247</v>
      </c>
      <c r="J105" s="34" t="s">
        <v>248</v>
      </c>
      <c r="K105" s="15">
        <v>4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4.5" x14ac:dyDescent="0.35">
      <c r="A106" s="7">
        <v>105</v>
      </c>
      <c r="B106" s="16" t="s">
        <v>343</v>
      </c>
      <c r="C106" s="17">
        <v>35.1</v>
      </c>
      <c r="D106" s="18">
        <v>71.252609123401328</v>
      </c>
      <c r="E106" s="19" t="s">
        <v>77</v>
      </c>
      <c r="F106" s="20" t="s">
        <v>344</v>
      </c>
      <c r="G106" s="20">
        <v>51.508200000000002</v>
      </c>
      <c r="H106" s="20">
        <v>25.294799999999999</v>
      </c>
      <c r="I106" s="21" t="s">
        <v>247</v>
      </c>
      <c r="J106" s="22" t="s">
        <v>248</v>
      </c>
      <c r="K106" s="15">
        <v>4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4.5" x14ac:dyDescent="0.35">
      <c r="A107" s="7">
        <v>106</v>
      </c>
      <c r="B107" s="23" t="s">
        <v>345</v>
      </c>
      <c r="C107" s="17">
        <v>36.700000000000003</v>
      </c>
      <c r="D107" s="18">
        <v>16.486418300374716</v>
      </c>
      <c r="E107" s="19" t="s">
        <v>57</v>
      </c>
      <c r="F107" s="20" t="s">
        <v>346</v>
      </c>
      <c r="G107" s="20">
        <v>25.279900000000001</v>
      </c>
      <c r="H107" s="20">
        <v>54.689599999999999</v>
      </c>
      <c r="I107" s="21" t="s">
        <v>247</v>
      </c>
      <c r="J107" s="22" t="s">
        <v>248</v>
      </c>
      <c r="K107" s="15">
        <v>4</v>
      </c>
      <c r="L107" s="15"/>
      <c r="M107" s="15"/>
    </row>
    <row r="108" spans="1:27" ht="14.5" x14ac:dyDescent="0.35">
      <c r="A108" s="7">
        <v>107</v>
      </c>
      <c r="B108" s="23" t="s">
        <v>347</v>
      </c>
      <c r="C108" s="17">
        <v>37.9</v>
      </c>
      <c r="D108" s="18">
        <v>53.292760310507731</v>
      </c>
      <c r="E108" s="19" t="s">
        <v>77</v>
      </c>
      <c r="F108" s="20"/>
      <c r="G108" s="20" t="s">
        <v>348</v>
      </c>
      <c r="H108" s="20" t="s">
        <v>349</v>
      </c>
      <c r="I108" s="21" t="s">
        <v>247</v>
      </c>
      <c r="J108" s="22" t="s">
        <v>248</v>
      </c>
      <c r="K108" s="15">
        <v>4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4.5" x14ac:dyDescent="0.35">
      <c r="A109" s="7">
        <v>108</v>
      </c>
      <c r="B109" s="16" t="s">
        <v>350</v>
      </c>
      <c r="C109" s="17">
        <v>40.6</v>
      </c>
      <c r="D109" s="18">
        <v>43.521866426633657</v>
      </c>
      <c r="E109" s="19" t="s">
        <v>121</v>
      </c>
      <c r="F109" s="20" t="s">
        <v>351</v>
      </c>
      <c r="G109" s="20">
        <v>-56.067500000000003</v>
      </c>
      <c r="H109" s="20">
        <v>-34.894100000000002</v>
      </c>
      <c r="I109" s="21" t="s">
        <v>247</v>
      </c>
      <c r="J109" s="22" t="s">
        <v>60</v>
      </c>
      <c r="K109" s="15">
        <v>4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4.5" x14ac:dyDescent="0.35">
      <c r="A110" s="7">
        <v>109</v>
      </c>
      <c r="B110" s="23" t="s">
        <v>352</v>
      </c>
      <c r="C110" s="17">
        <v>41.3</v>
      </c>
      <c r="D110" s="18">
        <v>65.643656172945612</v>
      </c>
      <c r="E110" s="19" t="s">
        <v>298</v>
      </c>
      <c r="F110" s="20" t="s">
        <v>353</v>
      </c>
      <c r="G110" s="20">
        <v>-77.031999999999996</v>
      </c>
      <c r="H110" s="20">
        <v>38.889499999999998</v>
      </c>
      <c r="I110" s="21" t="s">
        <v>247</v>
      </c>
      <c r="J110" s="22" t="s">
        <v>248</v>
      </c>
      <c r="K110" s="15">
        <v>4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4.5" x14ac:dyDescent="0.35">
      <c r="A111" s="7">
        <v>110</v>
      </c>
      <c r="B111" s="23" t="s">
        <v>354</v>
      </c>
      <c r="C111" s="17">
        <v>43</v>
      </c>
      <c r="D111" s="18">
        <v>43.022975385715974</v>
      </c>
      <c r="E111" s="32" t="s">
        <v>121</v>
      </c>
      <c r="F111" s="20" t="s">
        <v>355</v>
      </c>
      <c r="G111" s="20" t="s">
        <v>356</v>
      </c>
      <c r="H111" s="20" t="s">
        <v>357</v>
      </c>
      <c r="I111" s="33" t="s">
        <v>247</v>
      </c>
      <c r="J111" s="34" t="s">
        <v>60</v>
      </c>
      <c r="K111" s="15">
        <v>4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4.5" x14ac:dyDescent="0.35">
      <c r="A112" s="7">
        <v>111</v>
      </c>
      <c r="B112" s="36" t="s">
        <v>358</v>
      </c>
      <c r="C112" s="37">
        <v>48.9</v>
      </c>
      <c r="D112" s="38">
        <v>31.625906817072384</v>
      </c>
      <c r="E112" s="39" t="s">
        <v>121</v>
      </c>
      <c r="F112" s="40" t="s">
        <v>359</v>
      </c>
      <c r="G112" s="40">
        <v>-79.518799999999999</v>
      </c>
      <c r="H112" s="40">
        <v>8.9942700000000002</v>
      </c>
      <c r="I112" s="41" t="s">
        <v>247</v>
      </c>
      <c r="J112" s="42" t="s">
        <v>60</v>
      </c>
      <c r="K112" s="15">
        <v>4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4.5" x14ac:dyDescent="0.35">
      <c r="A113" s="7">
        <v>112</v>
      </c>
      <c r="B113" s="46" t="s">
        <v>360</v>
      </c>
      <c r="C113" s="47"/>
      <c r="D113" s="18">
        <v>16.590074742286312</v>
      </c>
      <c r="E113" s="48" t="s">
        <v>70</v>
      </c>
      <c r="F113" s="49" t="s">
        <v>361</v>
      </c>
      <c r="G113" s="49" t="s">
        <v>362</v>
      </c>
      <c r="H113" s="49" t="s">
        <v>363</v>
      </c>
      <c r="I113" s="50" t="s">
        <v>59</v>
      </c>
      <c r="J113" s="51" t="s">
        <v>13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4.5" x14ac:dyDescent="0.35">
      <c r="A114" s="7">
        <v>113</v>
      </c>
      <c r="B114" s="16" t="s">
        <v>364</v>
      </c>
      <c r="C114" s="17"/>
      <c r="D114" s="18">
        <v>106.1642276771675</v>
      </c>
      <c r="E114" s="19" t="s">
        <v>70</v>
      </c>
      <c r="F114" s="20" t="s">
        <v>365</v>
      </c>
      <c r="G114" s="20">
        <v>174.77600000000001</v>
      </c>
      <c r="H114" s="20">
        <v>-41.286499999999997</v>
      </c>
      <c r="I114" s="21" t="s">
        <v>247</v>
      </c>
      <c r="J114" s="22" t="s">
        <v>248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4.5" x14ac:dyDescent="0.35">
      <c r="A115" s="7">
        <v>114</v>
      </c>
      <c r="B115" s="23" t="s">
        <v>366</v>
      </c>
      <c r="C115" s="17"/>
      <c r="D115" s="52">
        <v>19.343965166494854</v>
      </c>
      <c r="E115" s="19" t="s">
        <v>64</v>
      </c>
      <c r="F115" s="20" t="s">
        <v>367</v>
      </c>
      <c r="G115" s="20" t="s">
        <v>368</v>
      </c>
      <c r="H115" s="20" t="s">
        <v>369</v>
      </c>
      <c r="I115" s="21" t="s">
        <v>12</v>
      </c>
      <c r="J115" s="22" t="s">
        <v>13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4.5" x14ac:dyDescent="0.35">
      <c r="A116" s="7"/>
      <c r="B116" s="53" t="s">
        <v>370</v>
      </c>
      <c r="C116" s="54"/>
      <c r="D116" s="55">
        <v>28.374109106788062</v>
      </c>
      <c r="E116" s="56"/>
      <c r="F116" s="57"/>
      <c r="G116" s="57"/>
      <c r="H116" s="57"/>
      <c r="I116" s="58"/>
      <c r="J116" s="57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</row>
    <row r="117" spans="1:27" ht="14.5" x14ac:dyDescent="0.35">
      <c r="A117" s="7"/>
      <c r="B117" s="60" t="s">
        <v>371</v>
      </c>
      <c r="C117" s="61">
        <f>MEDIAN(C2:C115)</f>
        <v>34.799999999999997</v>
      </c>
      <c r="D117" s="18">
        <v>24.990060824374083</v>
      </c>
      <c r="E117" s="62"/>
      <c r="I117" s="63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4.5" x14ac:dyDescent="0.35">
      <c r="A118" s="7"/>
      <c r="B118" s="64" t="s">
        <v>372</v>
      </c>
      <c r="C118" s="65">
        <f>AVERAGE(C2:C115)</f>
        <v>36.436936936936938</v>
      </c>
      <c r="D118" s="66">
        <v>35.427211873475756</v>
      </c>
      <c r="E118" s="62"/>
      <c r="I118" s="63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4.5" x14ac:dyDescent="0.35">
      <c r="A119" s="7"/>
      <c r="B119" s="67" t="s">
        <v>373</v>
      </c>
      <c r="C119" s="68">
        <f>MIN(C2:C115)</f>
        <v>24.1</v>
      </c>
      <c r="D119" s="10">
        <v>8.410557562573036</v>
      </c>
      <c r="E119" s="62"/>
      <c r="I119" s="63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4.5" x14ac:dyDescent="0.35">
      <c r="A120" s="7"/>
      <c r="B120" s="69" t="s">
        <v>374</v>
      </c>
      <c r="C120" s="70">
        <f>MAX(C2:C115)</f>
        <v>63</v>
      </c>
      <c r="D120" s="71">
        <v>117.83967082171201</v>
      </c>
      <c r="E120" s="62"/>
      <c r="I120" s="63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4.5" x14ac:dyDescent="0.35">
      <c r="A121" s="7"/>
      <c r="B121" s="72" t="s">
        <v>375</v>
      </c>
      <c r="C121" s="73">
        <f>QUARTILE(C2:C115,1)</f>
        <v>31.8</v>
      </c>
      <c r="D121" s="74">
        <v>19.042803802033635</v>
      </c>
      <c r="E121" s="75"/>
      <c r="F121" s="76"/>
      <c r="G121" s="76"/>
      <c r="H121" s="76"/>
      <c r="I121" s="77"/>
      <c r="J121" s="76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</row>
    <row r="122" spans="1:27" ht="14.5" x14ac:dyDescent="0.35">
      <c r="A122" s="7"/>
      <c r="B122" s="72" t="s">
        <v>376</v>
      </c>
      <c r="C122" s="79">
        <f>QUARTILE(C2:C115,3)</f>
        <v>40.650000000000006</v>
      </c>
      <c r="D122" s="80">
        <v>43.474951355817595</v>
      </c>
      <c r="E122" s="75"/>
      <c r="F122" s="76"/>
      <c r="G122" s="76"/>
      <c r="H122" s="76"/>
      <c r="I122" s="77"/>
      <c r="J122" s="76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</row>
    <row r="123" spans="1:27" ht="14.5" x14ac:dyDescent="0.35">
      <c r="A123" s="7"/>
      <c r="B123" s="81"/>
      <c r="C123" s="82"/>
      <c r="D123" s="82"/>
      <c r="E123" s="75"/>
      <c r="F123" s="76"/>
      <c r="G123" s="76"/>
      <c r="H123" s="76"/>
      <c r="I123" s="77"/>
      <c r="J123" s="76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</row>
    <row r="124" spans="1:27" ht="14.5" x14ac:dyDescent="0.35">
      <c r="A124" s="7"/>
      <c r="B124" s="81"/>
      <c r="C124" s="82"/>
      <c r="D124" s="82"/>
      <c r="E124" s="75"/>
      <c r="F124" s="76"/>
      <c r="G124" s="76"/>
      <c r="H124" s="76"/>
      <c r="I124" s="77"/>
      <c r="J124" s="76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</row>
    <row r="125" spans="1:27" ht="14.5" x14ac:dyDescent="0.35">
      <c r="A125" s="7"/>
      <c r="B125" s="81"/>
      <c r="C125" s="82"/>
      <c r="D125" s="82"/>
      <c r="E125" s="75"/>
      <c r="F125" s="76"/>
      <c r="G125" s="76"/>
      <c r="H125" s="76"/>
      <c r="I125" s="77"/>
      <c r="J125" s="76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</row>
    <row r="126" spans="1:27" ht="14.5" x14ac:dyDescent="0.35">
      <c r="A126" s="7"/>
      <c r="B126" s="81"/>
      <c r="C126" s="82"/>
      <c r="D126" s="82"/>
      <c r="E126" s="75"/>
      <c r="F126" s="76"/>
      <c r="G126" s="76"/>
      <c r="H126" s="76"/>
      <c r="I126" s="77"/>
      <c r="J126" s="76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</row>
    <row r="127" spans="1:27" ht="14.5" x14ac:dyDescent="0.35">
      <c r="A127" s="7"/>
      <c r="B127" s="81"/>
      <c r="C127" s="82"/>
      <c r="D127" s="82"/>
      <c r="E127" s="75"/>
      <c r="F127" s="76"/>
      <c r="G127" s="76"/>
      <c r="H127" s="76"/>
      <c r="I127" s="77"/>
      <c r="J127" s="76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</row>
    <row r="128" spans="1:27" ht="14.5" x14ac:dyDescent="0.35">
      <c r="A128" s="7"/>
      <c r="B128" s="81"/>
      <c r="C128" s="82"/>
      <c r="D128" s="82"/>
      <c r="E128" s="75"/>
      <c r="F128" s="76"/>
      <c r="G128" s="76"/>
      <c r="H128" s="76"/>
      <c r="I128" s="77"/>
      <c r="J128" s="76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</row>
    <row r="129" spans="1:27" ht="14.5" x14ac:dyDescent="0.35">
      <c r="A129" s="7"/>
      <c r="B129" s="81"/>
      <c r="C129" s="82"/>
      <c r="D129" s="82"/>
      <c r="E129" s="75"/>
      <c r="F129" s="76"/>
      <c r="G129" s="76"/>
      <c r="H129" s="76"/>
      <c r="I129" s="77"/>
      <c r="J129" s="76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</row>
    <row r="130" spans="1:27" ht="14.5" x14ac:dyDescent="0.35">
      <c r="A130" s="7"/>
      <c r="B130" s="81"/>
      <c r="C130" s="82"/>
      <c r="D130" s="82"/>
      <c r="E130" s="75"/>
      <c r="F130" s="76"/>
      <c r="G130" s="76"/>
      <c r="H130" s="76"/>
      <c r="I130" s="77"/>
      <c r="J130" s="76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</row>
    <row r="131" spans="1:27" ht="14.5" x14ac:dyDescent="0.35">
      <c r="A131" s="7"/>
      <c r="B131" s="81"/>
      <c r="C131" s="82"/>
      <c r="D131" s="82"/>
      <c r="E131" s="75"/>
      <c r="F131" s="76"/>
      <c r="G131" s="76"/>
      <c r="H131" s="76"/>
      <c r="I131" s="77"/>
      <c r="J131" s="76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</row>
    <row r="132" spans="1:27" ht="14.5" x14ac:dyDescent="0.35">
      <c r="A132" s="7"/>
      <c r="B132" s="81"/>
      <c r="C132" s="82"/>
      <c r="D132" s="82"/>
      <c r="E132" s="75"/>
      <c r="F132" s="76"/>
      <c r="G132" s="76"/>
      <c r="H132" s="76"/>
      <c r="I132" s="77"/>
      <c r="J132" s="76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</row>
    <row r="133" spans="1:27" ht="14.5" x14ac:dyDescent="0.35">
      <c r="A133" s="81"/>
      <c r="B133" s="81"/>
      <c r="C133" s="82"/>
      <c r="D133" s="82"/>
      <c r="E133" s="75"/>
      <c r="F133" s="76"/>
      <c r="G133" s="76"/>
      <c r="H133" s="76"/>
      <c r="I133" s="77"/>
      <c r="J133" s="76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</row>
    <row r="134" spans="1:27" ht="14.5" x14ac:dyDescent="0.35">
      <c r="A134" s="81"/>
      <c r="B134" s="81"/>
      <c r="C134" s="82"/>
      <c r="D134" s="82"/>
      <c r="E134" s="75"/>
      <c r="F134" s="76"/>
      <c r="G134" s="76"/>
      <c r="H134" s="76"/>
      <c r="I134" s="77"/>
      <c r="J134" s="76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</row>
    <row r="135" spans="1:27" ht="14.5" x14ac:dyDescent="0.35">
      <c r="A135" s="81"/>
      <c r="B135" s="81"/>
      <c r="C135" s="82"/>
      <c r="D135" s="82"/>
      <c r="E135" s="75"/>
      <c r="F135" s="76"/>
      <c r="G135" s="76"/>
      <c r="H135" s="76"/>
      <c r="I135" s="77"/>
      <c r="J135" s="76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</row>
    <row r="136" spans="1:27" ht="14.5" x14ac:dyDescent="0.35">
      <c r="A136" s="81"/>
      <c r="B136" s="81"/>
      <c r="C136" s="82"/>
      <c r="D136" s="82"/>
      <c r="E136" s="75"/>
      <c r="F136" s="76"/>
      <c r="G136" s="76"/>
      <c r="H136" s="76"/>
      <c r="I136" s="77"/>
      <c r="J136" s="76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3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328125" defaultRowHeight="15.75" customHeight="1" x14ac:dyDescent="0.25"/>
  <cols>
    <col min="1" max="1" width="4" customWidth="1"/>
    <col min="2" max="2" width="17" customWidth="1"/>
    <col min="3" max="3" width="10.453125" customWidth="1"/>
    <col min="4" max="4" width="15.6328125" customWidth="1"/>
    <col min="5" max="5" width="23.6328125" customWidth="1"/>
    <col min="6" max="6" width="7.6328125" customWidth="1"/>
    <col min="7" max="7" width="11" customWidth="1"/>
    <col min="8" max="8" width="10.6328125" customWidth="1"/>
    <col min="9" max="9" width="18" customWidth="1"/>
    <col min="10" max="10" width="15.453125" customWidth="1"/>
    <col min="11" max="27" width="7.6328125" customWidth="1"/>
  </cols>
  <sheetData>
    <row r="1" spans="1:27" ht="15.75" customHeight="1" x14ac:dyDescent="0.25">
      <c r="A1" s="1"/>
      <c r="B1" s="83" t="s">
        <v>0</v>
      </c>
      <c r="C1" s="84" t="s">
        <v>1</v>
      </c>
      <c r="D1" s="4" t="s">
        <v>2</v>
      </c>
      <c r="E1" s="85" t="s">
        <v>3</v>
      </c>
      <c r="F1" s="86" t="s">
        <v>4</v>
      </c>
      <c r="G1" s="86" t="s">
        <v>5</v>
      </c>
      <c r="H1" s="86" t="s">
        <v>6</v>
      </c>
      <c r="I1" s="86" t="s">
        <v>7</v>
      </c>
      <c r="J1" s="87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5">
      <c r="A2" s="7">
        <v>1</v>
      </c>
      <c r="B2" s="46" t="s">
        <v>245</v>
      </c>
      <c r="C2" s="47">
        <v>24.1</v>
      </c>
      <c r="D2" s="18">
        <v>14.833778689882136</v>
      </c>
      <c r="E2" s="19" t="s">
        <v>57</v>
      </c>
      <c r="F2" s="20" t="s">
        <v>246</v>
      </c>
      <c r="G2" s="20">
        <v>17.107299999999999</v>
      </c>
      <c r="H2" s="20">
        <v>48.148400000000002</v>
      </c>
      <c r="I2" s="21" t="s">
        <v>247</v>
      </c>
      <c r="J2" s="22" t="s">
        <v>248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15.75" customHeight="1" x14ac:dyDescent="0.35">
      <c r="A3" s="7">
        <v>2</v>
      </c>
      <c r="B3" s="23" t="s">
        <v>249</v>
      </c>
      <c r="C3" s="17">
        <v>24.3</v>
      </c>
      <c r="D3" s="18">
        <v>30.694282668598646</v>
      </c>
      <c r="E3" s="19" t="s">
        <v>57</v>
      </c>
      <c r="F3" s="20" t="s">
        <v>250</v>
      </c>
      <c r="G3" s="20">
        <v>14.5044</v>
      </c>
      <c r="H3" s="20">
        <v>46.054600000000001</v>
      </c>
      <c r="I3" s="21" t="s">
        <v>247</v>
      </c>
      <c r="J3" s="22" t="s">
        <v>248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ht="15.75" customHeight="1" x14ac:dyDescent="0.35">
      <c r="A4" s="7">
        <v>3</v>
      </c>
      <c r="B4" s="25" t="s">
        <v>56</v>
      </c>
      <c r="C4" s="17">
        <v>25.6</v>
      </c>
      <c r="D4" s="18">
        <v>16.184497748670186</v>
      </c>
      <c r="E4" s="26" t="s">
        <v>57</v>
      </c>
      <c r="F4" s="20" t="s">
        <v>58</v>
      </c>
      <c r="G4" s="20">
        <v>30.503799999999998</v>
      </c>
      <c r="H4" s="20">
        <v>50.453600000000002</v>
      </c>
      <c r="I4" s="27" t="s">
        <v>59</v>
      </c>
      <c r="J4" s="22" t="s">
        <v>60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7" ht="15.75" customHeight="1" x14ac:dyDescent="0.35">
      <c r="A5" s="7">
        <v>4</v>
      </c>
      <c r="B5" s="23" t="s">
        <v>150</v>
      </c>
      <c r="C5" s="17">
        <v>25.7</v>
      </c>
      <c r="D5" s="18">
        <v>21.288592626209475</v>
      </c>
      <c r="E5" s="19" t="s">
        <v>57</v>
      </c>
      <c r="F5" s="20" t="s">
        <v>151</v>
      </c>
      <c r="G5" s="20">
        <v>28.849699999999999</v>
      </c>
      <c r="H5" s="20">
        <v>47.0167</v>
      </c>
      <c r="I5" s="21" t="s">
        <v>152</v>
      </c>
      <c r="J5" s="22" t="s">
        <v>60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15.75" customHeight="1" x14ac:dyDescent="0.35">
      <c r="A6" s="7">
        <v>5</v>
      </c>
      <c r="B6" s="23" t="s">
        <v>251</v>
      </c>
      <c r="C6" s="17">
        <v>25.7</v>
      </c>
      <c r="D6" s="18">
        <v>107.25546998753779</v>
      </c>
      <c r="E6" s="19" t="s">
        <v>57</v>
      </c>
      <c r="F6" s="20" t="s">
        <v>252</v>
      </c>
      <c r="G6" s="20">
        <v>4.8909500000000001</v>
      </c>
      <c r="H6" s="20">
        <v>52.373800000000003</v>
      </c>
      <c r="I6" s="21" t="s">
        <v>247</v>
      </c>
      <c r="J6" s="22" t="s">
        <v>248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5.75" customHeight="1" x14ac:dyDescent="0.35">
      <c r="A7" s="7">
        <v>6</v>
      </c>
      <c r="B7" s="23" t="s">
        <v>253</v>
      </c>
      <c r="C7" s="17">
        <v>26.2</v>
      </c>
      <c r="D7" s="18">
        <v>14.294633503519256</v>
      </c>
      <c r="E7" s="19" t="s">
        <v>57</v>
      </c>
      <c r="F7" s="20" t="s">
        <v>254</v>
      </c>
      <c r="G7" s="20"/>
      <c r="H7" s="20"/>
      <c r="I7" s="21" t="s">
        <v>247</v>
      </c>
      <c r="J7" s="22"/>
      <c r="K7" s="15"/>
      <c r="L7" s="15"/>
      <c r="M7" s="15"/>
    </row>
    <row r="8" spans="1:27" ht="15.75" customHeight="1" x14ac:dyDescent="0.35">
      <c r="A8" s="7">
        <v>7</v>
      </c>
      <c r="B8" s="16" t="s">
        <v>61</v>
      </c>
      <c r="C8" s="17">
        <v>26.4</v>
      </c>
      <c r="D8" s="18">
        <v>16.597345876470527</v>
      </c>
      <c r="E8" s="19" t="s">
        <v>57</v>
      </c>
      <c r="F8" s="20" t="s">
        <v>62</v>
      </c>
      <c r="G8" s="20">
        <v>74.605699999999999</v>
      </c>
      <c r="H8" s="20">
        <v>42.885100000000001</v>
      </c>
      <c r="I8" s="21" t="s">
        <v>59</v>
      </c>
      <c r="J8" s="22" t="s">
        <v>13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15.75" customHeight="1" x14ac:dyDescent="0.35">
      <c r="A9" s="7">
        <v>8</v>
      </c>
      <c r="B9" s="23" t="s">
        <v>255</v>
      </c>
      <c r="C9" s="17">
        <v>26.6</v>
      </c>
      <c r="D9" s="18">
        <v>62.145753480414136</v>
      </c>
      <c r="E9" s="19" t="s">
        <v>57</v>
      </c>
      <c r="F9" s="20" t="s">
        <v>256</v>
      </c>
      <c r="G9" s="20" t="s">
        <v>257</v>
      </c>
      <c r="H9" s="20" t="s">
        <v>258</v>
      </c>
      <c r="I9" s="21" t="s">
        <v>247</v>
      </c>
      <c r="J9" s="22" t="s">
        <v>248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15.75" customHeight="1" x14ac:dyDescent="0.35">
      <c r="A10" s="7">
        <v>9</v>
      </c>
      <c r="B10" s="23" t="s">
        <v>259</v>
      </c>
      <c r="C10" s="17">
        <v>27.7</v>
      </c>
      <c r="D10" s="18">
        <v>69.04753881349825</v>
      </c>
      <c r="E10" s="19" t="s">
        <v>57</v>
      </c>
      <c r="F10" s="20" t="s">
        <v>260</v>
      </c>
      <c r="G10" s="20" t="s">
        <v>261</v>
      </c>
      <c r="H10" s="20" t="s">
        <v>262</v>
      </c>
      <c r="I10" s="21" t="s">
        <v>247</v>
      </c>
      <c r="J10" s="22" t="s">
        <v>248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15.75" customHeight="1" x14ac:dyDescent="0.35">
      <c r="A11" s="7">
        <v>10</v>
      </c>
      <c r="B11" s="23" t="s">
        <v>263</v>
      </c>
      <c r="C11" s="17">
        <v>27.7</v>
      </c>
      <c r="D11" s="18">
        <v>104.65044314225703</v>
      </c>
      <c r="E11" s="19" t="s">
        <v>57</v>
      </c>
      <c r="F11" s="20" t="s">
        <v>264</v>
      </c>
      <c r="G11" s="20">
        <v>10.7387</v>
      </c>
      <c r="H11" s="20">
        <v>59.913800000000002</v>
      </c>
      <c r="I11" s="21" t="s">
        <v>247</v>
      </c>
      <c r="J11" s="22" t="s">
        <v>248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15.75" customHeight="1" x14ac:dyDescent="0.35">
      <c r="A12" s="7">
        <v>11</v>
      </c>
      <c r="B12" s="23" t="s">
        <v>153</v>
      </c>
      <c r="C12" s="17">
        <v>27.9</v>
      </c>
      <c r="D12" s="18">
        <v>22.612418648789571</v>
      </c>
      <c r="E12" s="19" t="s">
        <v>57</v>
      </c>
      <c r="F12" s="20" t="s">
        <v>154</v>
      </c>
      <c r="G12" s="20" t="s">
        <v>155</v>
      </c>
      <c r="H12" s="20" t="s">
        <v>156</v>
      </c>
      <c r="I12" s="21" t="s">
        <v>152</v>
      </c>
      <c r="J12" s="22" t="s">
        <v>60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15.75" customHeight="1" x14ac:dyDescent="0.35">
      <c r="A13" s="7">
        <v>12</v>
      </c>
      <c r="B13" s="23" t="s">
        <v>265</v>
      </c>
      <c r="C13" s="17">
        <v>28.3</v>
      </c>
      <c r="D13" s="18">
        <v>79.841841966882811</v>
      </c>
      <c r="E13" s="19" t="s">
        <v>57</v>
      </c>
      <c r="F13" s="20" t="s">
        <v>266</v>
      </c>
      <c r="G13" s="20" t="s">
        <v>267</v>
      </c>
      <c r="H13" s="20" t="s">
        <v>268</v>
      </c>
      <c r="I13" s="21" t="s">
        <v>247</v>
      </c>
      <c r="J13" s="22" t="s">
        <v>248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15.75" customHeight="1" x14ac:dyDescent="0.35">
      <c r="A14" s="7">
        <v>13</v>
      </c>
      <c r="B14" s="23" t="s">
        <v>269</v>
      </c>
      <c r="C14" s="17">
        <v>28.5</v>
      </c>
      <c r="D14" s="18">
        <v>17.904767653815398</v>
      </c>
      <c r="E14" s="19" t="s">
        <v>57</v>
      </c>
      <c r="F14" s="20" t="s">
        <v>270</v>
      </c>
      <c r="G14" s="20">
        <v>21.02</v>
      </c>
      <c r="H14" s="20">
        <v>52.26</v>
      </c>
      <c r="I14" s="21" t="s">
        <v>247</v>
      </c>
      <c r="J14" s="22" t="s">
        <v>60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5.75" customHeight="1" x14ac:dyDescent="0.35">
      <c r="A15" s="7">
        <v>14</v>
      </c>
      <c r="B15" s="23" t="s">
        <v>271</v>
      </c>
      <c r="C15" s="17">
        <v>28.9</v>
      </c>
      <c r="D15" s="18">
        <v>28.387020129154564</v>
      </c>
      <c r="E15" s="19" t="s">
        <v>57</v>
      </c>
      <c r="F15" s="20" t="s">
        <v>272</v>
      </c>
      <c r="G15" s="20" t="s">
        <v>273</v>
      </c>
      <c r="H15" s="20" t="s">
        <v>274</v>
      </c>
      <c r="I15" s="21" t="s">
        <v>247</v>
      </c>
      <c r="J15" s="22" t="s">
        <v>60</v>
      </c>
      <c r="K15" s="15"/>
      <c r="L15" s="15"/>
      <c r="M15" s="15"/>
    </row>
    <row r="16" spans="1:27" ht="15.75" customHeight="1" x14ac:dyDescent="0.35">
      <c r="A16" s="7">
        <v>15</v>
      </c>
      <c r="B16" s="23" t="s">
        <v>275</v>
      </c>
      <c r="C16" s="17">
        <v>29.2</v>
      </c>
      <c r="D16" s="18">
        <v>13.608508956297177</v>
      </c>
      <c r="E16" s="19" t="s">
        <v>57</v>
      </c>
      <c r="F16" s="20" t="s">
        <v>276</v>
      </c>
      <c r="G16" s="20" t="s">
        <v>277</v>
      </c>
      <c r="H16" s="20" t="s">
        <v>278</v>
      </c>
      <c r="I16" s="21" t="s">
        <v>247</v>
      </c>
      <c r="J16" s="22" t="s">
        <v>248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5.75" customHeight="1" x14ac:dyDescent="0.35">
      <c r="A17" s="7">
        <v>16</v>
      </c>
      <c r="B17" s="23" t="s">
        <v>157</v>
      </c>
      <c r="C17" s="17">
        <v>29.4</v>
      </c>
      <c r="D17" s="18">
        <v>19.041249462714411</v>
      </c>
      <c r="E17" s="19" t="s">
        <v>57</v>
      </c>
      <c r="F17" s="20" t="s">
        <v>158</v>
      </c>
      <c r="G17" s="20" t="s">
        <v>159</v>
      </c>
      <c r="H17" s="20" t="s">
        <v>160</v>
      </c>
      <c r="I17" s="21" t="s">
        <v>152</v>
      </c>
      <c r="J17" s="22" t="s">
        <v>60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5.75" customHeight="1" x14ac:dyDescent="0.35">
      <c r="A18" s="7">
        <v>17</v>
      </c>
      <c r="B18" s="23" t="s">
        <v>63</v>
      </c>
      <c r="C18" s="17">
        <v>29.6</v>
      </c>
      <c r="D18" s="18">
        <v>11.763166963360721</v>
      </c>
      <c r="E18" s="19" t="s">
        <v>64</v>
      </c>
      <c r="F18" s="20" t="s">
        <v>65</v>
      </c>
      <c r="G18" s="20">
        <v>72.8</v>
      </c>
      <c r="H18" s="20">
        <v>30.5167</v>
      </c>
      <c r="I18" s="21" t="s">
        <v>59</v>
      </c>
      <c r="J18" s="22" t="s">
        <v>66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15.75" customHeight="1" x14ac:dyDescent="0.35">
      <c r="A19" s="7">
        <v>18</v>
      </c>
      <c r="B19" s="23" t="s">
        <v>279</v>
      </c>
      <c r="C19" s="17">
        <v>29.8</v>
      </c>
      <c r="D19" s="18">
        <v>112.27359313902183</v>
      </c>
      <c r="E19" s="19" t="s">
        <v>57</v>
      </c>
      <c r="F19" s="20" t="s">
        <v>280</v>
      </c>
      <c r="G19" s="20">
        <v>18.064499999999999</v>
      </c>
      <c r="H19" s="20">
        <v>59.332700000000003</v>
      </c>
      <c r="I19" s="21" t="s">
        <v>247</v>
      </c>
      <c r="J19" s="22" t="s">
        <v>248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5.75" customHeight="1" x14ac:dyDescent="0.35">
      <c r="A20" s="7">
        <v>19</v>
      </c>
      <c r="B20" s="23" t="s">
        <v>67</v>
      </c>
      <c r="C20" s="17">
        <v>30</v>
      </c>
      <c r="D20" s="18">
        <v>13.93626006895613</v>
      </c>
      <c r="E20" s="19" t="s">
        <v>64</v>
      </c>
      <c r="F20" s="20" t="s">
        <v>68</v>
      </c>
      <c r="G20" s="20">
        <v>85.315700000000007</v>
      </c>
      <c r="H20" s="20">
        <v>27.693899999999999</v>
      </c>
      <c r="I20" s="21" t="s">
        <v>59</v>
      </c>
      <c r="J20" s="22" t="s">
        <v>13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5.75" customHeight="1" x14ac:dyDescent="0.35">
      <c r="A21" s="7">
        <v>20</v>
      </c>
      <c r="B21" s="23" t="s">
        <v>281</v>
      </c>
      <c r="C21" s="17">
        <v>30.1</v>
      </c>
      <c r="D21" s="18">
        <v>61.246774825502229</v>
      </c>
      <c r="E21" s="19" t="s">
        <v>57</v>
      </c>
      <c r="F21" s="20" t="s">
        <v>282</v>
      </c>
      <c r="G21" s="20" t="s">
        <v>283</v>
      </c>
      <c r="H21" s="20" t="s">
        <v>284</v>
      </c>
      <c r="I21" s="21" t="s">
        <v>247</v>
      </c>
      <c r="J21" s="22" t="s">
        <v>248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4.5" x14ac:dyDescent="0.35">
      <c r="A22" s="7">
        <v>21</v>
      </c>
      <c r="B22" s="23" t="s">
        <v>69</v>
      </c>
      <c r="C22" s="17">
        <v>30.7</v>
      </c>
      <c r="D22" s="18">
        <v>18.876001004119853</v>
      </c>
      <c r="E22" s="19" t="s">
        <v>70</v>
      </c>
      <c r="F22" s="20" t="s">
        <v>71</v>
      </c>
      <c r="G22" s="20">
        <v>95.956199999999995</v>
      </c>
      <c r="H22" s="20">
        <v>21.914000000000001</v>
      </c>
      <c r="I22" s="21" t="s">
        <v>59</v>
      </c>
      <c r="J22" s="22" t="s">
        <v>13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4.5" x14ac:dyDescent="0.35">
      <c r="A23" s="7">
        <v>22</v>
      </c>
      <c r="B23" s="23" t="s">
        <v>285</v>
      </c>
      <c r="C23" s="17">
        <v>30.7</v>
      </c>
      <c r="D23" s="18">
        <v>86.49824817102261</v>
      </c>
      <c r="E23" s="19" t="s">
        <v>57</v>
      </c>
      <c r="F23" s="20" t="s">
        <v>286</v>
      </c>
      <c r="G23" s="20" t="s">
        <v>287</v>
      </c>
      <c r="H23" s="20" t="s">
        <v>288</v>
      </c>
      <c r="I23" s="21" t="s">
        <v>247</v>
      </c>
      <c r="J23" s="22" t="s">
        <v>248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4.5" x14ac:dyDescent="0.35">
      <c r="A24" s="7">
        <v>23</v>
      </c>
      <c r="B24" s="23" t="s">
        <v>72</v>
      </c>
      <c r="C24" s="17">
        <v>31.2</v>
      </c>
      <c r="D24" s="18">
        <v>26.496940687618562</v>
      </c>
      <c r="E24" s="32" t="s">
        <v>57</v>
      </c>
      <c r="F24" s="20" t="s">
        <v>73</v>
      </c>
      <c r="G24" s="20">
        <v>69.269000000000005</v>
      </c>
      <c r="H24" s="20">
        <v>41.305199999999999</v>
      </c>
      <c r="I24" s="33" t="s">
        <v>59</v>
      </c>
      <c r="J24" s="15" t="s">
        <v>66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4.5" x14ac:dyDescent="0.35">
      <c r="A25" s="7">
        <v>24</v>
      </c>
      <c r="B25" s="23" t="s">
        <v>289</v>
      </c>
      <c r="C25" s="17">
        <v>31.3</v>
      </c>
      <c r="D25" s="18">
        <v>86.518520873332619</v>
      </c>
      <c r="E25" s="19" t="s">
        <v>57</v>
      </c>
      <c r="F25" s="20" t="s">
        <v>290</v>
      </c>
      <c r="G25" s="20" t="s">
        <v>291</v>
      </c>
      <c r="H25" s="20" t="s">
        <v>292</v>
      </c>
      <c r="I25" s="21" t="s">
        <v>247</v>
      </c>
      <c r="J25" s="22" t="s">
        <v>248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4.5" x14ac:dyDescent="0.35">
      <c r="A26" s="7">
        <v>25</v>
      </c>
      <c r="B26" s="23" t="s">
        <v>74</v>
      </c>
      <c r="C26" s="17">
        <v>31.4</v>
      </c>
      <c r="D26" s="18">
        <v>29.437760147088579</v>
      </c>
      <c r="E26" s="19" t="s">
        <v>70</v>
      </c>
      <c r="F26" s="20" t="s">
        <v>75</v>
      </c>
      <c r="G26" s="20">
        <v>106.937</v>
      </c>
      <c r="H26" s="20">
        <v>47.9129</v>
      </c>
      <c r="I26" s="21" t="s">
        <v>59</v>
      </c>
      <c r="J26" s="22" t="s">
        <v>60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4.5" x14ac:dyDescent="0.35">
      <c r="A27" s="7">
        <v>26</v>
      </c>
      <c r="B27" s="23" t="s">
        <v>293</v>
      </c>
      <c r="C27" s="17">
        <v>31.5</v>
      </c>
      <c r="D27" s="18">
        <v>68.256248706924055</v>
      </c>
      <c r="E27" s="19" t="s">
        <v>57</v>
      </c>
      <c r="F27" s="20" t="s">
        <v>294</v>
      </c>
      <c r="G27" s="20" t="s">
        <v>295</v>
      </c>
      <c r="H27" s="20" t="s">
        <v>296</v>
      </c>
      <c r="I27" s="21" t="s">
        <v>247</v>
      </c>
      <c r="J27" s="22" t="s">
        <v>248</v>
      </c>
      <c r="K27" s="15"/>
      <c r="L27" s="15"/>
      <c r="M27" s="15"/>
    </row>
    <row r="28" spans="1:27" ht="14.5" x14ac:dyDescent="0.35">
      <c r="A28" s="7">
        <v>27</v>
      </c>
      <c r="B28" s="23" t="s">
        <v>297</v>
      </c>
      <c r="C28" s="17">
        <v>31.7</v>
      </c>
      <c r="D28" s="18">
        <v>75.539514581886337</v>
      </c>
      <c r="E28" s="19" t="s">
        <v>298</v>
      </c>
      <c r="F28" s="20" t="s">
        <v>299</v>
      </c>
      <c r="G28" s="20" t="s">
        <v>300</v>
      </c>
      <c r="H28" s="20" t="s">
        <v>301</v>
      </c>
      <c r="I28" s="21" t="s">
        <v>247</v>
      </c>
      <c r="J28" s="22" t="s">
        <v>248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4.5" x14ac:dyDescent="0.35">
      <c r="A29" s="7">
        <v>28</v>
      </c>
      <c r="B29" s="23" t="s">
        <v>302</v>
      </c>
      <c r="C29" s="17">
        <v>31.8</v>
      </c>
      <c r="D29" s="18">
        <v>26.937717301503742</v>
      </c>
      <c r="E29" s="19" t="s">
        <v>57</v>
      </c>
      <c r="F29" s="20" t="s">
        <v>303</v>
      </c>
      <c r="G29" s="20" t="s">
        <v>304</v>
      </c>
      <c r="H29" s="20" t="s">
        <v>305</v>
      </c>
      <c r="I29" s="21" t="s">
        <v>247</v>
      </c>
      <c r="J29" s="22" t="s">
        <v>248</v>
      </c>
    </row>
    <row r="30" spans="1:27" ht="14.5" x14ac:dyDescent="0.35">
      <c r="A30" s="7">
        <v>29</v>
      </c>
      <c r="B30" s="23" t="s">
        <v>76</v>
      </c>
      <c r="C30" s="17">
        <v>31.8</v>
      </c>
      <c r="D30" s="18">
        <v>39.072138844165622</v>
      </c>
      <c r="E30" s="19" t="s">
        <v>77</v>
      </c>
      <c r="F30" s="20" t="s">
        <v>78</v>
      </c>
      <c r="G30" s="20">
        <v>35.513399999999997</v>
      </c>
      <c r="H30" s="20">
        <v>33.8872</v>
      </c>
      <c r="I30" s="21" t="s">
        <v>59</v>
      </c>
      <c r="J30" s="22" t="s">
        <v>60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4.5" x14ac:dyDescent="0.35">
      <c r="A31" s="7">
        <v>30</v>
      </c>
      <c r="B31" s="23" t="s">
        <v>79</v>
      </c>
      <c r="C31" s="17">
        <v>31.9</v>
      </c>
      <c r="D31" s="18">
        <v>8.410557562573036</v>
      </c>
      <c r="E31" s="19" t="s">
        <v>77</v>
      </c>
      <c r="F31" s="20" t="s">
        <v>80</v>
      </c>
      <c r="G31" s="20" t="s">
        <v>81</v>
      </c>
      <c r="H31" s="20" t="s">
        <v>82</v>
      </c>
      <c r="I31" s="21" t="s">
        <v>59</v>
      </c>
      <c r="J31" s="22" t="s">
        <v>60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4.5" x14ac:dyDescent="0.35">
      <c r="A32" s="7">
        <v>31</v>
      </c>
      <c r="B32" s="23" t="s">
        <v>83</v>
      </c>
      <c r="C32" s="17">
        <v>32</v>
      </c>
      <c r="D32" s="18">
        <v>19.04746681999131</v>
      </c>
      <c r="E32" s="19" t="s">
        <v>10</v>
      </c>
      <c r="F32" s="20" t="s">
        <v>84</v>
      </c>
      <c r="G32" s="20">
        <v>-15.9824</v>
      </c>
      <c r="H32" s="20">
        <v>18.236699999999999</v>
      </c>
      <c r="I32" s="21" t="s">
        <v>59</v>
      </c>
      <c r="J32" s="22" t="s">
        <v>13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4.5" x14ac:dyDescent="0.35">
      <c r="A33" s="7">
        <v>32</v>
      </c>
      <c r="B33" s="23" t="s">
        <v>306</v>
      </c>
      <c r="C33" s="17">
        <v>32.4</v>
      </c>
      <c r="D33" s="18">
        <v>59.677484133199314</v>
      </c>
      <c r="E33" s="19" t="s">
        <v>57</v>
      </c>
      <c r="F33" s="20" t="s">
        <v>307</v>
      </c>
      <c r="G33" s="20" t="s">
        <v>308</v>
      </c>
      <c r="H33" s="20" t="s">
        <v>309</v>
      </c>
      <c r="I33" s="21" t="s">
        <v>247</v>
      </c>
      <c r="J33" s="22" t="s">
        <v>248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4.5" x14ac:dyDescent="0.35">
      <c r="A34" s="7">
        <v>33</v>
      </c>
      <c r="B34" s="23" t="s">
        <v>310</v>
      </c>
      <c r="C34" s="17">
        <v>32.4</v>
      </c>
      <c r="D34" s="18">
        <v>78.217314487905242</v>
      </c>
      <c r="E34" s="19" t="s">
        <v>57</v>
      </c>
      <c r="F34" s="20" t="s">
        <v>311</v>
      </c>
      <c r="G34" s="20">
        <v>-0.12623599999999999</v>
      </c>
      <c r="H34" s="20">
        <v>51.5002</v>
      </c>
      <c r="I34" s="21" t="s">
        <v>247</v>
      </c>
      <c r="J34" s="22" t="s">
        <v>248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4.5" x14ac:dyDescent="0.35">
      <c r="A35" s="7">
        <v>34</v>
      </c>
      <c r="B35" s="23" t="s">
        <v>312</v>
      </c>
      <c r="C35" s="17">
        <v>32.700000000000003</v>
      </c>
      <c r="D35" s="18">
        <v>117.83967082171201</v>
      </c>
      <c r="E35" s="19" t="s">
        <v>57</v>
      </c>
      <c r="F35" s="20" t="s">
        <v>312</v>
      </c>
      <c r="G35" s="20">
        <v>6.1295999999999999</v>
      </c>
      <c r="H35" s="20">
        <v>49.61</v>
      </c>
      <c r="I35" s="21" t="s">
        <v>247</v>
      </c>
      <c r="J35" s="22" t="s">
        <v>248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4.5" x14ac:dyDescent="0.35">
      <c r="A36" s="7">
        <v>35</v>
      </c>
      <c r="B36" s="23" t="s">
        <v>85</v>
      </c>
      <c r="C36" s="17">
        <v>32.799999999999997</v>
      </c>
      <c r="D36" s="18">
        <v>22.740385177773501</v>
      </c>
      <c r="E36" s="19" t="s">
        <v>64</v>
      </c>
      <c r="F36" s="20" t="s">
        <v>86</v>
      </c>
      <c r="G36" s="20" t="s">
        <v>87</v>
      </c>
      <c r="H36" s="20" t="s">
        <v>88</v>
      </c>
      <c r="I36" s="21" t="s">
        <v>59</v>
      </c>
      <c r="J36" s="22" t="s">
        <v>60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4.5" x14ac:dyDescent="0.35">
      <c r="A37" s="7">
        <v>36</v>
      </c>
      <c r="B37" s="16" t="s">
        <v>313</v>
      </c>
      <c r="C37" s="17">
        <v>32.9</v>
      </c>
      <c r="D37" s="18">
        <v>45.878998688505604</v>
      </c>
      <c r="E37" s="19" t="s">
        <v>70</v>
      </c>
      <c r="F37" s="20" t="s">
        <v>314</v>
      </c>
      <c r="G37" s="20" t="s">
        <v>315</v>
      </c>
      <c r="H37" s="20" t="s">
        <v>316</v>
      </c>
      <c r="I37" s="21" t="s">
        <v>247</v>
      </c>
      <c r="J37" s="22" t="s">
        <v>248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4.5" x14ac:dyDescent="0.35">
      <c r="A38" s="7">
        <v>37</v>
      </c>
      <c r="B38" s="23" t="s">
        <v>317</v>
      </c>
      <c r="C38" s="17">
        <v>32.9</v>
      </c>
      <c r="D38" s="18">
        <v>33.793884097716102</v>
      </c>
      <c r="E38" s="19" t="s">
        <v>70</v>
      </c>
      <c r="F38" s="20" t="s">
        <v>318</v>
      </c>
      <c r="G38" s="20" t="s">
        <v>319</v>
      </c>
      <c r="H38" s="20" t="s">
        <v>320</v>
      </c>
      <c r="I38" s="21" t="s">
        <v>247</v>
      </c>
      <c r="J38" s="22" t="s">
        <v>248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4.5" x14ac:dyDescent="0.35">
      <c r="A39" s="7">
        <v>38</v>
      </c>
      <c r="B39" s="23" t="s">
        <v>321</v>
      </c>
      <c r="C39" s="17">
        <v>32.9</v>
      </c>
      <c r="D39" s="18">
        <v>76.526610756884153</v>
      </c>
      <c r="E39" s="19" t="s">
        <v>57</v>
      </c>
      <c r="F39" s="20" t="s">
        <v>322</v>
      </c>
      <c r="G39" s="20" t="s">
        <v>323</v>
      </c>
      <c r="H39" s="20" t="s">
        <v>324</v>
      </c>
      <c r="I39" s="21" t="s">
        <v>247</v>
      </c>
      <c r="J39" s="22" t="s">
        <v>248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4.5" x14ac:dyDescent="0.35">
      <c r="A40" s="7">
        <v>39</v>
      </c>
      <c r="B40" s="16" t="s">
        <v>9</v>
      </c>
      <c r="C40" s="17">
        <v>32.9</v>
      </c>
      <c r="D40" s="18">
        <v>16.809877687592731</v>
      </c>
      <c r="E40" s="19" t="s">
        <v>10</v>
      </c>
      <c r="F40" s="20" t="s">
        <v>11</v>
      </c>
      <c r="G40" s="20">
        <v>2.1073</v>
      </c>
      <c r="H40" s="20">
        <v>13.513999999999999</v>
      </c>
      <c r="I40" s="21" t="s">
        <v>12</v>
      </c>
      <c r="J40" s="22" t="s">
        <v>13</v>
      </c>
      <c r="K40" s="15"/>
      <c r="L40" s="15"/>
      <c r="M40" s="15"/>
    </row>
    <row r="41" spans="1:27" ht="14.5" x14ac:dyDescent="0.35">
      <c r="A41" s="7">
        <v>40</v>
      </c>
      <c r="B41" s="23" t="s">
        <v>161</v>
      </c>
      <c r="C41" s="17">
        <v>33</v>
      </c>
      <c r="D41" s="18">
        <v>13.323440656052659</v>
      </c>
      <c r="E41" s="19" t="s">
        <v>57</v>
      </c>
      <c r="F41" s="20" t="s">
        <v>162</v>
      </c>
      <c r="G41" s="20" t="s">
        <v>163</v>
      </c>
      <c r="H41" s="20" t="s">
        <v>164</v>
      </c>
      <c r="I41" s="21" t="s">
        <v>152</v>
      </c>
      <c r="J41" s="22" t="s">
        <v>60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4.5" x14ac:dyDescent="0.35">
      <c r="A42" s="7">
        <v>41</v>
      </c>
      <c r="B42" s="23" t="s">
        <v>165</v>
      </c>
      <c r="C42" s="17">
        <v>33.1</v>
      </c>
      <c r="D42" s="18">
        <v>20.951208884101632</v>
      </c>
      <c r="E42" s="19" t="s">
        <v>57</v>
      </c>
      <c r="F42" s="20" t="s">
        <v>166</v>
      </c>
      <c r="G42" s="20">
        <v>20.465599999999998</v>
      </c>
      <c r="H42" s="20">
        <v>44.802399999999999</v>
      </c>
      <c r="I42" s="21" t="s">
        <v>152</v>
      </c>
      <c r="J42" s="22" t="s">
        <v>60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4.5" x14ac:dyDescent="0.35">
      <c r="A43" s="7">
        <v>42</v>
      </c>
      <c r="B43" s="23" t="s">
        <v>89</v>
      </c>
      <c r="C43" s="17">
        <v>33.4</v>
      </c>
      <c r="D43" s="18">
        <v>13.841659125240042</v>
      </c>
      <c r="E43" s="19" t="s">
        <v>64</v>
      </c>
      <c r="F43" s="20" t="s">
        <v>90</v>
      </c>
      <c r="G43" s="20" t="s">
        <v>91</v>
      </c>
      <c r="H43" s="20" t="s">
        <v>92</v>
      </c>
      <c r="I43" s="21" t="s">
        <v>59</v>
      </c>
      <c r="J43" s="22" t="s">
        <v>13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4.5" x14ac:dyDescent="0.35">
      <c r="A44" s="7">
        <v>43</v>
      </c>
      <c r="B44" s="16" t="s">
        <v>14</v>
      </c>
      <c r="C44" s="17">
        <v>33.4</v>
      </c>
      <c r="D44" s="18">
        <v>26.479688273363518</v>
      </c>
      <c r="E44" s="19" t="s">
        <v>10</v>
      </c>
      <c r="F44" s="20" t="s">
        <v>15</v>
      </c>
      <c r="G44" s="20" t="s">
        <v>16</v>
      </c>
      <c r="H44" s="20" t="s">
        <v>17</v>
      </c>
      <c r="I44" s="21" t="s">
        <v>12</v>
      </c>
      <c r="J44" s="22" t="s">
        <v>13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4.5" x14ac:dyDescent="0.35">
      <c r="A45" s="7">
        <v>44</v>
      </c>
      <c r="B45" s="16" t="s">
        <v>167</v>
      </c>
      <c r="C45" s="17">
        <v>33.5</v>
      </c>
      <c r="D45" s="18">
        <v>22.950744606917951</v>
      </c>
      <c r="E45" s="19" t="s">
        <v>57</v>
      </c>
      <c r="F45" s="20" t="s">
        <v>168</v>
      </c>
      <c r="G45" s="20" t="s">
        <v>169</v>
      </c>
      <c r="H45" s="20" t="s">
        <v>170</v>
      </c>
      <c r="I45" s="21" t="s">
        <v>152</v>
      </c>
      <c r="J45" s="22" t="s">
        <v>60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4.5" x14ac:dyDescent="0.35">
      <c r="A46" s="7">
        <v>45</v>
      </c>
      <c r="B46" s="23" t="s">
        <v>171</v>
      </c>
      <c r="C46" s="17">
        <v>33.5</v>
      </c>
      <c r="D46" s="18">
        <v>18.964427466158885</v>
      </c>
      <c r="E46" s="19" t="s">
        <v>57</v>
      </c>
      <c r="F46" s="20" t="s">
        <v>172</v>
      </c>
      <c r="G46" s="20" t="s">
        <v>173</v>
      </c>
      <c r="H46" s="20" t="s">
        <v>174</v>
      </c>
      <c r="I46" s="21" t="s">
        <v>152</v>
      </c>
      <c r="J46" s="22" t="s">
        <v>60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4.5" x14ac:dyDescent="0.35">
      <c r="A47" s="7">
        <v>46</v>
      </c>
      <c r="B47" s="23" t="s">
        <v>325</v>
      </c>
      <c r="C47" s="17">
        <v>33.700000000000003</v>
      </c>
      <c r="D47" s="18">
        <v>68.548770923647879</v>
      </c>
      <c r="E47" s="19" t="s">
        <v>57</v>
      </c>
      <c r="F47" s="20" t="s">
        <v>326</v>
      </c>
      <c r="G47" s="20">
        <v>7.4482100000000004</v>
      </c>
      <c r="H47" s="20">
        <v>46.948</v>
      </c>
      <c r="I47" s="21" t="s">
        <v>247</v>
      </c>
      <c r="J47" s="22" t="s">
        <v>248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4.5" x14ac:dyDescent="0.35">
      <c r="A48" s="7">
        <v>47</v>
      </c>
      <c r="B48" s="23" t="s">
        <v>175</v>
      </c>
      <c r="C48" s="17">
        <v>33.700000000000003</v>
      </c>
      <c r="D48" s="18">
        <v>42.118326584359686</v>
      </c>
      <c r="E48" s="32" t="s">
        <v>77</v>
      </c>
      <c r="F48" s="20" t="s">
        <v>176</v>
      </c>
      <c r="G48" s="20" t="s">
        <v>177</v>
      </c>
      <c r="H48" s="20" t="s">
        <v>178</v>
      </c>
      <c r="I48" s="33" t="s">
        <v>152</v>
      </c>
      <c r="J48" s="15" t="s">
        <v>60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4.5" x14ac:dyDescent="0.35">
      <c r="A49" s="7">
        <v>48</v>
      </c>
      <c r="B49" s="23" t="s">
        <v>93</v>
      </c>
      <c r="C49" s="17">
        <v>33.700000000000003</v>
      </c>
      <c r="D49" s="18">
        <v>12.350435671176653</v>
      </c>
      <c r="E49" s="19" t="s">
        <v>77</v>
      </c>
      <c r="F49" s="20" t="s">
        <v>94</v>
      </c>
      <c r="G49" s="20">
        <v>10.210000000000001</v>
      </c>
      <c r="H49" s="20">
        <v>36.789900000000003</v>
      </c>
      <c r="I49" s="21" t="s">
        <v>59</v>
      </c>
      <c r="J49" s="22" t="s">
        <v>60</v>
      </c>
      <c r="K49" s="15"/>
      <c r="L49" s="15"/>
      <c r="M49" s="15"/>
    </row>
    <row r="50" spans="1:27" ht="14.5" x14ac:dyDescent="0.35">
      <c r="A50" s="7">
        <v>49</v>
      </c>
      <c r="B50" s="23" t="s">
        <v>327</v>
      </c>
      <c r="C50" s="17">
        <v>33.9</v>
      </c>
      <c r="D50" s="18">
        <v>11.905641619644847</v>
      </c>
      <c r="E50" s="19" t="s">
        <v>57</v>
      </c>
      <c r="F50" s="20" t="s">
        <v>328</v>
      </c>
      <c r="G50" s="20">
        <v>26.097899999999999</v>
      </c>
      <c r="H50" s="20">
        <v>44.447899999999997</v>
      </c>
      <c r="I50" s="21" t="s">
        <v>247</v>
      </c>
      <c r="J50" s="22" t="s">
        <v>60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4.5" x14ac:dyDescent="0.35">
      <c r="A51" s="7">
        <v>50</v>
      </c>
      <c r="B51" s="23" t="s">
        <v>329</v>
      </c>
      <c r="C51" s="17">
        <v>33.9</v>
      </c>
      <c r="D51" s="18">
        <v>43.040706902954867</v>
      </c>
      <c r="E51" s="19" t="s">
        <v>57</v>
      </c>
      <c r="F51" s="20" t="s">
        <v>330</v>
      </c>
      <c r="G51" s="20">
        <v>-3.7032699999999998</v>
      </c>
      <c r="H51" s="20">
        <v>40.416699999999999</v>
      </c>
      <c r="I51" s="21" t="s">
        <v>247</v>
      </c>
      <c r="J51" s="22" t="s">
        <v>248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4.5" x14ac:dyDescent="0.35">
      <c r="A52" s="7">
        <v>51</v>
      </c>
      <c r="B52" s="16" t="s">
        <v>331</v>
      </c>
      <c r="C52" s="17">
        <v>34.299999999999997</v>
      </c>
      <c r="D52" s="18">
        <v>74.434694910221964</v>
      </c>
      <c r="E52" s="19" t="s">
        <v>70</v>
      </c>
      <c r="F52" s="20" t="s">
        <v>332</v>
      </c>
      <c r="G52" s="20" t="s">
        <v>333</v>
      </c>
      <c r="H52" s="20" t="s">
        <v>334</v>
      </c>
      <c r="I52" s="21" t="s">
        <v>247</v>
      </c>
      <c r="J52" s="22" t="s">
        <v>248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4.5" x14ac:dyDescent="0.35">
      <c r="A53" s="7">
        <v>52</v>
      </c>
      <c r="B53" s="23" t="s">
        <v>335</v>
      </c>
      <c r="C53" s="17">
        <v>34.299999999999997</v>
      </c>
      <c r="D53" s="18">
        <v>27.63750775347302</v>
      </c>
      <c r="E53" s="19" t="s">
        <v>57</v>
      </c>
      <c r="F53" s="20" t="s">
        <v>336</v>
      </c>
      <c r="G53" s="20">
        <v>24.104800000000001</v>
      </c>
      <c r="H53" s="20">
        <v>56.9465</v>
      </c>
      <c r="I53" s="21" t="s">
        <v>247</v>
      </c>
      <c r="J53" s="22" t="s">
        <v>248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4.5" x14ac:dyDescent="0.35">
      <c r="A54" s="7">
        <v>53</v>
      </c>
      <c r="B54" s="16" t="s">
        <v>179</v>
      </c>
      <c r="C54" s="17">
        <v>34.299999999999997</v>
      </c>
      <c r="D54" s="18">
        <v>42.078149195371957</v>
      </c>
      <c r="E54" s="19" t="s">
        <v>57</v>
      </c>
      <c r="F54" s="20" t="s">
        <v>180</v>
      </c>
      <c r="G54" s="20">
        <v>19.259499999999999</v>
      </c>
      <c r="H54" s="20">
        <v>42.4602</v>
      </c>
      <c r="I54" s="21" t="s">
        <v>152</v>
      </c>
      <c r="J54" s="22" t="s">
        <v>60</v>
      </c>
      <c r="K54" s="15"/>
      <c r="L54" s="15"/>
      <c r="M54" s="15"/>
    </row>
    <row r="55" spans="1:27" ht="14.5" x14ac:dyDescent="0.35">
      <c r="A55" s="7">
        <v>54</v>
      </c>
      <c r="B55" s="23" t="s">
        <v>95</v>
      </c>
      <c r="C55" s="17">
        <v>34.4</v>
      </c>
      <c r="D55" s="18">
        <v>20.219153529419334</v>
      </c>
      <c r="E55" s="19" t="s">
        <v>10</v>
      </c>
      <c r="F55" s="20" t="s">
        <v>96</v>
      </c>
      <c r="G55" s="20" t="s">
        <v>97</v>
      </c>
      <c r="H55" s="20" t="s">
        <v>98</v>
      </c>
      <c r="I55" s="21" t="s">
        <v>59</v>
      </c>
      <c r="J55" s="22" t="s">
        <v>13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4.5" x14ac:dyDescent="0.35">
      <c r="A56" s="7">
        <v>55</v>
      </c>
      <c r="B56" s="23" t="s">
        <v>337</v>
      </c>
      <c r="C56" s="17">
        <v>34.6</v>
      </c>
      <c r="D56" s="18">
        <v>33.709924736634434</v>
      </c>
      <c r="E56" s="19" t="s">
        <v>57</v>
      </c>
      <c r="F56" s="20" t="s">
        <v>338</v>
      </c>
      <c r="G56" s="20">
        <v>-9.1355199999999996</v>
      </c>
      <c r="H56" s="20">
        <v>38.7072</v>
      </c>
      <c r="I56" s="21" t="s">
        <v>247</v>
      </c>
      <c r="J56" s="22" t="s">
        <v>248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4.5" x14ac:dyDescent="0.35">
      <c r="A57" s="7">
        <v>56</v>
      </c>
      <c r="B57" s="23" t="s">
        <v>339</v>
      </c>
      <c r="C57" s="17">
        <v>34.799999999999997</v>
      </c>
      <c r="D57" s="18">
        <v>53.056424264638075</v>
      </c>
      <c r="E57" s="19" t="s">
        <v>57</v>
      </c>
      <c r="F57" s="20" t="s">
        <v>340</v>
      </c>
      <c r="G57" s="20" t="s">
        <v>341</v>
      </c>
      <c r="H57" s="20" t="s">
        <v>342</v>
      </c>
      <c r="I57" s="21" t="s">
        <v>247</v>
      </c>
      <c r="J57" s="22" t="s">
        <v>248</v>
      </c>
      <c r="K57" s="15"/>
      <c r="L57" s="15"/>
      <c r="M57" s="15"/>
    </row>
    <row r="58" spans="1:27" ht="14.5" x14ac:dyDescent="0.35">
      <c r="A58" s="7">
        <v>57</v>
      </c>
      <c r="B58" s="23" t="s">
        <v>181</v>
      </c>
      <c r="C58" s="17">
        <v>34.9</v>
      </c>
      <c r="D58" s="18">
        <v>13.777836595889282</v>
      </c>
      <c r="E58" s="19" t="s">
        <v>70</v>
      </c>
      <c r="F58" s="20" t="s">
        <v>182</v>
      </c>
      <c r="G58" s="20">
        <v>100.521</v>
      </c>
      <c r="H58" s="20">
        <v>13.7308</v>
      </c>
      <c r="I58" s="21" t="s">
        <v>152</v>
      </c>
      <c r="J58" s="22" t="s">
        <v>60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4.5" x14ac:dyDescent="0.35">
      <c r="A59" s="7">
        <v>58</v>
      </c>
      <c r="B59" s="23" t="s">
        <v>183</v>
      </c>
      <c r="C59" s="17">
        <v>35.1</v>
      </c>
      <c r="D59" s="18">
        <v>17.419617559339947</v>
      </c>
      <c r="E59" s="44" t="s">
        <v>57</v>
      </c>
      <c r="F59" s="15" t="s">
        <v>184</v>
      </c>
      <c r="G59" s="15">
        <v>37.617600000000003</v>
      </c>
      <c r="H59" s="15">
        <v>55.755800000000001</v>
      </c>
      <c r="I59" s="45" t="s">
        <v>152</v>
      </c>
      <c r="J59" s="15" t="s">
        <v>60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4.5" x14ac:dyDescent="0.35">
      <c r="A60" s="7">
        <v>59</v>
      </c>
      <c r="B60" s="16" t="s">
        <v>343</v>
      </c>
      <c r="C60" s="17">
        <v>35.1</v>
      </c>
      <c r="D60" s="18">
        <v>71.252609123401328</v>
      </c>
      <c r="E60" s="32" t="s">
        <v>77</v>
      </c>
      <c r="F60" s="20" t="s">
        <v>344</v>
      </c>
      <c r="G60" s="20">
        <v>51.508200000000002</v>
      </c>
      <c r="H60" s="20">
        <v>25.294799999999999</v>
      </c>
      <c r="I60" s="33" t="s">
        <v>247</v>
      </c>
      <c r="J60" s="15" t="s">
        <v>248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4.5" x14ac:dyDescent="0.35">
      <c r="A61" s="7">
        <v>60</v>
      </c>
      <c r="B61" s="23" t="s">
        <v>99</v>
      </c>
      <c r="C61" s="17">
        <v>35.1</v>
      </c>
      <c r="D61" s="18">
        <v>21.112437407355451</v>
      </c>
      <c r="E61" s="32" t="s">
        <v>10</v>
      </c>
      <c r="F61" s="20" t="s">
        <v>100</v>
      </c>
      <c r="G61" s="20">
        <v>7.4890600000000003</v>
      </c>
      <c r="H61" s="20">
        <v>9.0580400000000001</v>
      </c>
      <c r="I61" s="33" t="s">
        <v>59</v>
      </c>
      <c r="J61" s="15" t="s">
        <v>66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4.5" x14ac:dyDescent="0.35">
      <c r="A62" s="7">
        <v>61</v>
      </c>
      <c r="B62" s="23" t="s">
        <v>101</v>
      </c>
      <c r="C62" s="17">
        <v>35.299999999999997</v>
      </c>
      <c r="D62" s="18">
        <v>22.821893521929216</v>
      </c>
      <c r="E62" s="32" t="s">
        <v>10</v>
      </c>
      <c r="F62" s="20" t="s">
        <v>102</v>
      </c>
      <c r="G62" s="20" t="s">
        <v>103</v>
      </c>
      <c r="H62" s="20" t="s">
        <v>104</v>
      </c>
      <c r="I62" s="33" t="s">
        <v>59</v>
      </c>
      <c r="J62" s="15" t="s">
        <v>13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4.5" x14ac:dyDescent="0.35">
      <c r="A63" s="7">
        <v>62</v>
      </c>
      <c r="B63" s="23" t="s">
        <v>18</v>
      </c>
      <c r="C63" s="17">
        <v>35.299999999999997</v>
      </c>
      <c r="D63" s="18">
        <v>29.114812562857921</v>
      </c>
      <c r="E63" s="32" t="s">
        <v>10</v>
      </c>
      <c r="F63" s="20" t="s">
        <v>19</v>
      </c>
      <c r="G63" s="20">
        <v>-10.7957</v>
      </c>
      <c r="H63" s="20">
        <v>6.3003900000000002</v>
      </c>
      <c r="I63" s="33" t="s">
        <v>12</v>
      </c>
      <c r="J63" s="15" t="s">
        <v>13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4.5" x14ac:dyDescent="0.35">
      <c r="A64" s="7">
        <v>63</v>
      </c>
      <c r="B64" s="23" t="s">
        <v>20</v>
      </c>
      <c r="C64" s="17">
        <v>35.700000000000003</v>
      </c>
      <c r="D64" s="18">
        <v>24.591395474334142</v>
      </c>
      <c r="E64" s="19" t="s">
        <v>10</v>
      </c>
      <c r="F64" s="20" t="s">
        <v>21</v>
      </c>
      <c r="G64" s="20">
        <v>-7.5003399999999996</v>
      </c>
      <c r="H64" s="20">
        <v>13.566700000000001</v>
      </c>
      <c r="I64" s="21" t="s">
        <v>12</v>
      </c>
      <c r="J64" s="22" t="s">
        <v>13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4.5" x14ac:dyDescent="0.35">
      <c r="A65" s="7">
        <v>64</v>
      </c>
      <c r="B65" s="16" t="s">
        <v>22</v>
      </c>
      <c r="C65" s="17">
        <v>35.700000000000003</v>
      </c>
      <c r="D65" s="18">
        <v>28.552911975306241</v>
      </c>
      <c r="E65" s="32" t="s">
        <v>10</v>
      </c>
      <c r="F65" s="20" t="s">
        <v>23</v>
      </c>
      <c r="G65" s="20">
        <v>-13.2134</v>
      </c>
      <c r="H65" s="20">
        <v>8.4821000000000009</v>
      </c>
      <c r="I65" s="33" t="s">
        <v>12</v>
      </c>
      <c r="J65" s="15" t="s">
        <v>13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4.5" x14ac:dyDescent="0.35">
      <c r="A66" s="7">
        <v>65</v>
      </c>
      <c r="B66" s="23" t="s">
        <v>105</v>
      </c>
      <c r="C66" s="17">
        <v>36.1</v>
      </c>
      <c r="D66" s="18">
        <v>15.289777177633788</v>
      </c>
      <c r="E66" s="32" t="s">
        <v>70</v>
      </c>
      <c r="F66" s="20" t="s">
        <v>106</v>
      </c>
      <c r="G66" s="20" t="s">
        <v>107</v>
      </c>
      <c r="H66" s="20" t="s">
        <v>108</v>
      </c>
      <c r="I66" s="33" t="s">
        <v>59</v>
      </c>
      <c r="J66" s="15" t="s">
        <v>60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4.5" x14ac:dyDescent="0.35">
      <c r="A67" s="7">
        <v>66</v>
      </c>
      <c r="B67" s="23" t="s">
        <v>109</v>
      </c>
      <c r="C67" s="17">
        <v>36.1</v>
      </c>
      <c r="D67" s="18">
        <v>23.328233856889156</v>
      </c>
      <c r="E67" s="32" t="s">
        <v>70</v>
      </c>
      <c r="F67" s="20"/>
      <c r="G67" s="20"/>
      <c r="H67" s="20"/>
      <c r="I67" s="33" t="s">
        <v>59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4.5" x14ac:dyDescent="0.35">
      <c r="A68" s="7">
        <v>67</v>
      </c>
      <c r="B68" s="23" t="s">
        <v>110</v>
      </c>
      <c r="C68" s="17">
        <v>36.200000000000003</v>
      </c>
      <c r="D68" s="18">
        <v>14.452194378371788</v>
      </c>
      <c r="E68" s="44" t="s">
        <v>10</v>
      </c>
      <c r="F68" s="15" t="s">
        <v>111</v>
      </c>
      <c r="G68" s="15">
        <v>-17.473400000000002</v>
      </c>
      <c r="H68" s="15">
        <v>14.7247</v>
      </c>
      <c r="I68" s="45" t="s">
        <v>59</v>
      </c>
      <c r="J68" s="15" t="s">
        <v>13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4.5" x14ac:dyDescent="0.35">
      <c r="A69" s="7">
        <v>68</v>
      </c>
      <c r="B69" s="23" t="s">
        <v>345</v>
      </c>
      <c r="C69" s="17">
        <v>36.700000000000003</v>
      </c>
      <c r="D69" s="18">
        <v>16.486418300374716</v>
      </c>
      <c r="E69" s="19" t="s">
        <v>57</v>
      </c>
      <c r="F69" s="20" t="s">
        <v>346</v>
      </c>
      <c r="G69" s="20">
        <v>25.279900000000001</v>
      </c>
      <c r="H69" s="20">
        <v>54.689599999999999</v>
      </c>
      <c r="I69" s="21" t="s">
        <v>247</v>
      </c>
      <c r="J69" s="22" t="s">
        <v>248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4.5" x14ac:dyDescent="0.35">
      <c r="A70" s="7">
        <v>69</v>
      </c>
      <c r="B70" s="23" t="s">
        <v>185</v>
      </c>
      <c r="C70" s="17">
        <v>36.799999999999997</v>
      </c>
      <c r="D70" s="18">
        <v>41.490492417952709</v>
      </c>
      <c r="E70" s="19" t="s">
        <v>10</v>
      </c>
      <c r="F70" s="20" t="s">
        <v>186</v>
      </c>
      <c r="G70" s="20">
        <v>57.497700000000002</v>
      </c>
      <c r="H70" s="20">
        <v>-20.160499999999999</v>
      </c>
      <c r="I70" s="21" t="s">
        <v>152</v>
      </c>
      <c r="J70" s="22" t="s">
        <v>60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4.5" x14ac:dyDescent="0.35">
      <c r="A71" s="7">
        <v>70</v>
      </c>
      <c r="B71" s="23" t="s">
        <v>187</v>
      </c>
      <c r="C71" s="17">
        <v>37</v>
      </c>
      <c r="D71" s="18">
        <v>35.044481695403917</v>
      </c>
      <c r="E71" s="44" t="s">
        <v>121</v>
      </c>
      <c r="F71" s="15" t="s">
        <v>188</v>
      </c>
      <c r="G71" s="15" t="s">
        <v>189</v>
      </c>
      <c r="H71" s="15" t="s">
        <v>190</v>
      </c>
      <c r="I71" s="45" t="s">
        <v>152</v>
      </c>
      <c r="J71" s="15" t="s">
        <v>60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4.5" x14ac:dyDescent="0.35">
      <c r="A72" s="7">
        <v>71</v>
      </c>
      <c r="B72" s="16" t="s">
        <v>24</v>
      </c>
      <c r="C72" s="17">
        <v>37.4</v>
      </c>
      <c r="D72" s="18">
        <v>20.831223508061949</v>
      </c>
      <c r="E72" s="19" t="s">
        <v>10</v>
      </c>
      <c r="F72" s="15" t="s">
        <v>25</v>
      </c>
      <c r="G72" s="15" t="s">
        <v>26</v>
      </c>
      <c r="H72" s="15" t="s">
        <v>27</v>
      </c>
      <c r="I72" s="45" t="s">
        <v>12</v>
      </c>
      <c r="J72" s="15" t="s">
        <v>13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4.5" x14ac:dyDescent="0.35">
      <c r="A73" s="7">
        <v>72</v>
      </c>
      <c r="B73" s="16" t="s">
        <v>28</v>
      </c>
      <c r="C73" s="17">
        <v>37.4</v>
      </c>
      <c r="D73" s="18">
        <v>26.746846128165121</v>
      </c>
      <c r="E73" s="19" t="s">
        <v>10</v>
      </c>
      <c r="F73" s="15" t="s">
        <v>29</v>
      </c>
      <c r="G73" s="15" t="s">
        <v>30</v>
      </c>
      <c r="H73" s="15" t="s">
        <v>31</v>
      </c>
      <c r="I73" s="45" t="s">
        <v>12</v>
      </c>
      <c r="J73" s="15" t="s">
        <v>13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4.5" x14ac:dyDescent="0.35">
      <c r="A74" s="7">
        <v>73</v>
      </c>
      <c r="B74" s="23" t="s">
        <v>112</v>
      </c>
      <c r="C74" s="17">
        <v>37.700000000000003</v>
      </c>
      <c r="D74" s="18">
        <v>10.584292286096643</v>
      </c>
      <c r="E74" s="35" t="s">
        <v>64</v>
      </c>
      <c r="F74" s="20" t="s">
        <v>113</v>
      </c>
      <c r="G74" s="20">
        <v>79.852800000000002</v>
      </c>
      <c r="H74" s="20">
        <v>6.9214799999999999</v>
      </c>
      <c r="I74" s="20" t="s">
        <v>59</v>
      </c>
      <c r="J74" s="22" t="s">
        <v>60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4.5" x14ac:dyDescent="0.35">
      <c r="A75" s="7">
        <v>74</v>
      </c>
      <c r="B75" s="23" t="s">
        <v>347</v>
      </c>
      <c r="C75" s="17">
        <v>37.9</v>
      </c>
      <c r="D75" s="18">
        <v>53.292760310507731</v>
      </c>
      <c r="E75" s="19" t="s">
        <v>77</v>
      </c>
      <c r="F75" s="20"/>
      <c r="G75" s="20" t="s">
        <v>348</v>
      </c>
      <c r="H75" s="20" t="s">
        <v>349</v>
      </c>
      <c r="I75" s="21" t="s">
        <v>247</v>
      </c>
      <c r="J75" s="22" t="s">
        <v>248</v>
      </c>
      <c r="K75" s="15"/>
      <c r="L75" s="15"/>
      <c r="M75" s="15"/>
    </row>
    <row r="76" spans="1:27" ht="14.5" x14ac:dyDescent="0.35">
      <c r="A76" s="7">
        <v>75</v>
      </c>
      <c r="B76" s="16" t="s">
        <v>32</v>
      </c>
      <c r="C76" s="17">
        <v>37.9</v>
      </c>
      <c r="D76" s="18">
        <v>21.427600948882365</v>
      </c>
      <c r="E76" s="19" t="s">
        <v>10</v>
      </c>
      <c r="F76" s="20" t="s">
        <v>33</v>
      </c>
      <c r="G76" s="20">
        <v>1.2255</v>
      </c>
      <c r="H76" s="20">
        <v>6.1227999999999998</v>
      </c>
      <c r="I76" s="21" t="s">
        <v>12</v>
      </c>
      <c r="J76" s="22" t="s">
        <v>13</v>
      </c>
    </row>
    <row r="77" spans="1:27" ht="14.5" x14ac:dyDescent="0.35">
      <c r="A77" s="7">
        <v>76</v>
      </c>
      <c r="B77" s="23" t="s">
        <v>114</v>
      </c>
      <c r="C77" s="17">
        <v>38.700000000000003</v>
      </c>
      <c r="D77" s="18">
        <v>19.587037114397187</v>
      </c>
      <c r="E77" s="19" t="s">
        <v>10</v>
      </c>
      <c r="F77" s="20" t="s">
        <v>115</v>
      </c>
      <c r="G77" s="20" t="s">
        <v>116</v>
      </c>
      <c r="H77" s="20" t="s">
        <v>117</v>
      </c>
      <c r="I77" s="21" t="s">
        <v>59</v>
      </c>
      <c r="J77" s="22" t="s">
        <v>66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4.5" x14ac:dyDescent="0.35">
      <c r="A78" s="7">
        <v>77</v>
      </c>
      <c r="B78" s="23" t="s">
        <v>118</v>
      </c>
      <c r="C78" s="17">
        <v>38.799999999999997</v>
      </c>
      <c r="D78" s="18">
        <v>38.558151645698892</v>
      </c>
      <c r="E78" s="19" t="s">
        <v>70</v>
      </c>
      <c r="F78" s="20" t="s">
        <v>119</v>
      </c>
      <c r="G78" s="20">
        <v>102.17700000000001</v>
      </c>
      <c r="H78" s="20">
        <v>18.582599999999999</v>
      </c>
      <c r="I78" s="21" t="s">
        <v>59</v>
      </c>
      <c r="J78" s="22" t="s">
        <v>13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4.5" x14ac:dyDescent="0.35">
      <c r="A79" s="7">
        <v>78</v>
      </c>
      <c r="B79" s="23" t="s">
        <v>120</v>
      </c>
      <c r="C79" s="17">
        <v>38.799999999999997</v>
      </c>
      <c r="D79" s="18">
        <v>21.692992686367106</v>
      </c>
      <c r="E79" s="19" t="s">
        <v>121</v>
      </c>
      <c r="F79" s="20" t="s">
        <v>122</v>
      </c>
      <c r="G79" s="20" t="s">
        <v>123</v>
      </c>
      <c r="H79" s="20" t="s">
        <v>124</v>
      </c>
      <c r="I79" s="21" t="s">
        <v>59</v>
      </c>
      <c r="J79" s="22" t="s">
        <v>60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4.5" x14ac:dyDescent="0.35">
      <c r="A80" s="7">
        <v>79</v>
      </c>
      <c r="B80" s="23" t="s">
        <v>34</v>
      </c>
      <c r="C80" s="17">
        <v>38.799999999999997</v>
      </c>
      <c r="D80" s="18">
        <v>27.123561152768644</v>
      </c>
      <c r="E80" s="32" t="s">
        <v>10</v>
      </c>
      <c r="F80" s="20" t="s">
        <v>35</v>
      </c>
      <c r="G80" s="20" t="s">
        <v>36</v>
      </c>
      <c r="H80" s="22" t="s">
        <v>37</v>
      </c>
      <c r="I80" s="45" t="s">
        <v>12</v>
      </c>
      <c r="J80" s="15" t="s">
        <v>13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4.5" x14ac:dyDescent="0.35">
      <c r="A81" s="7">
        <v>80</v>
      </c>
      <c r="B81" s="23" t="s">
        <v>191</v>
      </c>
      <c r="C81" s="17">
        <v>39</v>
      </c>
      <c r="D81" s="18">
        <v>12.53580470560733</v>
      </c>
      <c r="E81" s="32" t="s">
        <v>57</v>
      </c>
      <c r="F81" s="20" t="s">
        <v>192</v>
      </c>
      <c r="G81" s="20" t="s">
        <v>193</v>
      </c>
      <c r="H81" s="20" t="s">
        <v>194</v>
      </c>
      <c r="I81" s="33" t="s">
        <v>152</v>
      </c>
      <c r="J81" s="15" t="s">
        <v>60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4.5" x14ac:dyDescent="0.35">
      <c r="A82" s="7">
        <v>81</v>
      </c>
      <c r="B82" s="23" t="s">
        <v>195</v>
      </c>
      <c r="C82" s="17">
        <v>40.200000000000003</v>
      </c>
      <c r="D82" s="18">
        <v>43.3342061433694</v>
      </c>
      <c r="E82" s="19" t="s">
        <v>121</v>
      </c>
      <c r="F82" s="20" t="s">
        <v>196</v>
      </c>
      <c r="G82" s="20" t="s">
        <v>197</v>
      </c>
      <c r="H82" s="20" t="s">
        <v>198</v>
      </c>
      <c r="I82" s="21" t="s">
        <v>152</v>
      </c>
      <c r="J82" s="22" t="s">
        <v>60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4.5" x14ac:dyDescent="0.35">
      <c r="A83" s="7">
        <v>82</v>
      </c>
      <c r="B83" s="23" t="s">
        <v>199</v>
      </c>
      <c r="C83" s="17">
        <v>40.299999999999997</v>
      </c>
      <c r="D83" s="18">
        <v>21.281836256167871</v>
      </c>
      <c r="E83" s="19" t="s">
        <v>121</v>
      </c>
      <c r="F83" s="20" t="s">
        <v>200</v>
      </c>
      <c r="G83" s="20">
        <v>-77.046499999999995</v>
      </c>
      <c r="H83" s="20">
        <v>-12.0931</v>
      </c>
      <c r="I83" s="21" t="s">
        <v>152</v>
      </c>
      <c r="J83" s="22" t="s">
        <v>60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4.5" x14ac:dyDescent="0.35">
      <c r="A84" s="7">
        <v>83</v>
      </c>
      <c r="B84" s="88" t="s">
        <v>350</v>
      </c>
      <c r="C84" s="47">
        <v>40.6</v>
      </c>
      <c r="D84" s="18">
        <v>43.521866426633657</v>
      </c>
      <c r="E84" s="19" t="s">
        <v>121</v>
      </c>
      <c r="F84" s="20" t="s">
        <v>351</v>
      </c>
      <c r="G84" s="20">
        <v>-56.067500000000003</v>
      </c>
      <c r="H84" s="20">
        <v>-34.894100000000002</v>
      </c>
      <c r="I84" s="21" t="s">
        <v>247</v>
      </c>
      <c r="J84" s="22" t="s">
        <v>60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4.5" x14ac:dyDescent="0.35">
      <c r="A85" s="7">
        <v>84</v>
      </c>
      <c r="B85" s="23" t="s">
        <v>201</v>
      </c>
      <c r="C85" s="17">
        <v>40.700000000000003</v>
      </c>
      <c r="D85" s="18">
        <v>20.252041759692098</v>
      </c>
      <c r="E85" s="19" t="s">
        <v>70</v>
      </c>
      <c r="F85" s="20" t="s">
        <v>202</v>
      </c>
      <c r="G85" s="20">
        <v>101.684</v>
      </c>
      <c r="H85" s="20">
        <v>3.1243300000000001</v>
      </c>
      <c r="I85" s="21" t="s">
        <v>152</v>
      </c>
      <c r="J85" s="22" t="s">
        <v>60</v>
      </c>
      <c r="K85" s="15"/>
      <c r="L85" s="15"/>
      <c r="M85" s="15"/>
    </row>
    <row r="86" spans="1:27" ht="14.5" x14ac:dyDescent="0.35">
      <c r="A86" s="7">
        <v>85</v>
      </c>
      <c r="B86" s="23" t="s">
        <v>125</v>
      </c>
      <c r="C86" s="17">
        <v>40.700000000000003</v>
      </c>
      <c r="D86" s="18">
        <v>24.908546787911042</v>
      </c>
      <c r="E86" s="19" t="s">
        <v>70</v>
      </c>
      <c r="F86" s="20" t="s">
        <v>126</v>
      </c>
      <c r="G86" s="20">
        <v>121.035</v>
      </c>
      <c r="H86" s="20">
        <v>14.551500000000001</v>
      </c>
      <c r="I86" s="21" t="s">
        <v>59</v>
      </c>
      <c r="J86" s="22" t="s">
        <v>60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4.5" x14ac:dyDescent="0.35">
      <c r="A87" s="7">
        <v>86</v>
      </c>
      <c r="B87" s="23" t="s">
        <v>203</v>
      </c>
      <c r="C87" s="17">
        <v>40.700000000000003</v>
      </c>
      <c r="D87" s="18">
        <v>50.547783580321557</v>
      </c>
      <c r="E87" s="19" t="s">
        <v>121</v>
      </c>
      <c r="F87" s="20" t="s">
        <v>204</v>
      </c>
      <c r="G87" s="20" t="s">
        <v>205</v>
      </c>
      <c r="H87" s="20" t="s">
        <v>206</v>
      </c>
      <c r="I87" s="21" t="s">
        <v>152</v>
      </c>
      <c r="J87" s="22" t="s">
        <v>60</v>
      </c>
      <c r="K87" s="15"/>
      <c r="L87" s="15"/>
      <c r="M87" s="15"/>
    </row>
    <row r="88" spans="1:27" ht="14.5" x14ac:dyDescent="0.35">
      <c r="A88" s="7">
        <v>87</v>
      </c>
      <c r="B88" s="23" t="s">
        <v>127</v>
      </c>
      <c r="C88" s="17">
        <v>40.9</v>
      </c>
      <c r="D88" s="18">
        <v>21.761254314297219</v>
      </c>
      <c r="E88" s="19" t="s">
        <v>121</v>
      </c>
      <c r="F88" s="20" t="s">
        <v>128</v>
      </c>
      <c r="G88" s="20" t="s">
        <v>129</v>
      </c>
      <c r="H88" s="20" t="s">
        <v>130</v>
      </c>
      <c r="I88" s="21" t="s">
        <v>59</v>
      </c>
      <c r="J88" s="22" t="s">
        <v>60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4.5" x14ac:dyDescent="0.35">
      <c r="A89" s="7">
        <v>88</v>
      </c>
      <c r="B89" s="23" t="s">
        <v>352</v>
      </c>
      <c r="C89" s="17">
        <v>41.3</v>
      </c>
      <c r="D89" s="18">
        <v>65.643656172945612</v>
      </c>
      <c r="E89" s="19" t="s">
        <v>298</v>
      </c>
      <c r="F89" s="20" t="s">
        <v>353</v>
      </c>
      <c r="G89" s="20">
        <v>-77.031999999999996</v>
      </c>
      <c r="H89" s="20">
        <v>38.889499999999998</v>
      </c>
      <c r="I89" s="21" t="s">
        <v>247</v>
      </c>
      <c r="J89" s="22" t="s">
        <v>248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4.5" x14ac:dyDescent="0.35">
      <c r="A90" s="7">
        <v>89</v>
      </c>
      <c r="B90" s="16" t="s">
        <v>131</v>
      </c>
      <c r="C90" s="17">
        <v>41.6</v>
      </c>
      <c r="D90" s="18">
        <v>60.138872756039817</v>
      </c>
      <c r="E90" s="19" t="s">
        <v>77</v>
      </c>
      <c r="F90" s="20" t="s">
        <v>131</v>
      </c>
      <c r="G90" s="20" t="s">
        <v>132</v>
      </c>
      <c r="H90" s="20" t="s">
        <v>133</v>
      </c>
      <c r="I90" s="21" t="s">
        <v>59</v>
      </c>
      <c r="J90" s="22" t="s">
        <v>13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4.5" x14ac:dyDescent="0.35">
      <c r="A91" s="7">
        <v>90</v>
      </c>
      <c r="B91" s="16" t="s">
        <v>134</v>
      </c>
      <c r="C91" s="17">
        <v>42.4</v>
      </c>
      <c r="D91" s="18">
        <v>43.546884381621297</v>
      </c>
      <c r="E91" s="19" t="s">
        <v>10</v>
      </c>
      <c r="F91" s="20" t="s">
        <v>135</v>
      </c>
      <c r="G91" s="20" t="s">
        <v>136</v>
      </c>
      <c r="H91" s="20" t="s">
        <v>137</v>
      </c>
      <c r="I91" s="21" t="s">
        <v>59</v>
      </c>
      <c r="J91" s="22" t="s">
        <v>66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6.5" x14ac:dyDescent="0.35">
      <c r="A92" s="7">
        <v>91</v>
      </c>
      <c r="B92" s="25" t="s">
        <v>43</v>
      </c>
      <c r="C92" s="17">
        <v>42.7</v>
      </c>
      <c r="D92" s="18">
        <v>25.771878821979264</v>
      </c>
      <c r="E92" s="26" t="s">
        <v>10</v>
      </c>
      <c r="F92" s="20" t="s">
        <v>44</v>
      </c>
      <c r="G92" s="20">
        <v>32.572899999999997</v>
      </c>
      <c r="H92" s="20">
        <v>0.31426900000000002</v>
      </c>
      <c r="I92" s="27" t="s">
        <v>12</v>
      </c>
      <c r="J92" s="22" t="s">
        <v>13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4.5" x14ac:dyDescent="0.35">
      <c r="A93" s="7">
        <v>92</v>
      </c>
      <c r="B93" s="23" t="s">
        <v>354</v>
      </c>
      <c r="C93" s="17">
        <v>43</v>
      </c>
      <c r="D93" s="18">
        <v>43.022975385715974</v>
      </c>
      <c r="E93" s="19" t="s">
        <v>121</v>
      </c>
      <c r="F93" s="20" t="s">
        <v>355</v>
      </c>
      <c r="G93" s="20" t="s">
        <v>356</v>
      </c>
      <c r="H93" s="20" t="s">
        <v>357</v>
      </c>
      <c r="I93" s="21" t="s">
        <v>247</v>
      </c>
      <c r="J93" s="22" t="s">
        <v>60</v>
      </c>
      <c r="K93" s="15"/>
      <c r="L93" s="15"/>
      <c r="M93" s="15"/>
    </row>
    <row r="94" spans="1:27" ht="14.5" x14ac:dyDescent="0.35">
      <c r="A94" s="7">
        <v>93</v>
      </c>
      <c r="B94" s="23" t="s">
        <v>207</v>
      </c>
      <c r="C94" s="17">
        <v>43.5</v>
      </c>
      <c r="D94" s="18">
        <v>23.42404911339629</v>
      </c>
      <c r="E94" s="19" t="s">
        <v>121</v>
      </c>
      <c r="F94" s="20" t="s">
        <v>208</v>
      </c>
      <c r="G94" s="20">
        <v>-99.127600000000001</v>
      </c>
      <c r="H94" s="20">
        <v>19.427</v>
      </c>
      <c r="I94" s="21" t="s">
        <v>152</v>
      </c>
      <c r="J94" s="22" t="s">
        <v>60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4.5" x14ac:dyDescent="0.35">
      <c r="A95" s="7">
        <v>94</v>
      </c>
      <c r="B95" s="23" t="s">
        <v>138</v>
      </c>
      <c r="C95" s="17">
        <v>43.5</v>
      </c>
      <c r="D95" s="18">
        <v>20.010010643713915</v>
      </c>
      <c r="E95" s="19" t="s">
        <v>10</v>
      </c>
      <c r="F95" s="20" t="s">
        <v>139</v>
      </c>
      <c r="G95" s="20" t="s">
        <v>140</v>
      </c>
      <c r="H95" s="20" t="s">
        <v>141</v>
      </c>
      <c r="I95" s="21" t="s">
        <v>59</v>
      </c>
      <c r="J95" s="22" t="s">
        <v>13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4.5" x14ac:dyDescent="0.35">
      <c r="A96" s="7">
        <v>95</v>
      </c>
      <c r="B96" s="23" t="s">
        <v>48</v>
      </c>
      <c r="C96" s="17">
        <v>43.7</v>
      </c>
      <c r="D96" s="18">
        <v>19.817236364806647</v>
      </c>
      <c r="E96" s="19" t="s">
        <v>10</v>
      </c>
      <c r="F96" s="20" t="s">
        <v>49</v>
      </c>
      <c r="G96" s="20">
        <v>30.058700000000002</v>
      </c>
      <c r="H96" s="20">
        <v>-1.9532499999999999</v>
      </c>
      <c r="I96" s="21" t="s">
        <v>12</v>
      </c>
      <c r="J96" s="22" t="s">
        <v>13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4.5" x14ac:dyDescent="0.35">
      <c r="A97" s="7">
        <v>96</v>
      </c>
      <c r="B97" s="23" t="s">
        <v>209</v>
      </c>
      <c r="C97" s="17">
        <v>44.4</v>
      </c>
      <c r="D97" s="18">
        <v>9.9150499192369157</v>
      </c>
      <c r="E97" s="19" t="s">
        <v>57</v>
      </c>
      <c r="F97" s="20" t="s">
        <v>210</v>
      </c>
      <c r="G97" s="20">
        <v>32.360599999999998</v>
      </c>
      <c r="H97" s="20">
        <v>39.715299999999999</v>
      </c>
      <c r="I97" s="21" t="s">
        <v>152</v>
      </c>
      <c r="J97" s="22" t="s">
        <v>60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4.5" x14ac:dyDescent="0.35">
      <c r="A98" s="7">
        <v>97</v>
      </c>
      <c r="B98" s="23" t="s">
        <v>211</v>
      </c>
      <c r="C98" s="17">
        <v>44.6</v>
      </c>
      <c r="D98" s="18">
        <v>21.021164027142913</v>
      </c>
      <c r="E98" s="19" t="s">
        <v>121</v>
      </c>
      <c r="F98" s="20" t="s">
        <v>212</v>
      </c>
      <c r="G98" s="20" t="s">
        <v>213</v>
      </c>
      <c r="H98" s="20" t="s">
        <v>214</v>
      </c>
      <c r="I98" s="21" t="s">
        <v>152</v>
      </c>
      <c r="J98" s="22" t="s">
        <v>60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4.5" x14ac:dyDescent="0.35">
      <c r="A99" s="7">
        <v>98</v>
      </c>
      <c r="B99" s="23" t="s">
        <v>142</v>
      </c>
      <c r="C99" s="17">
        <v>44.9</v>
      </c>
      <c r="D99" s="18">
        <v>18.458389727010715</v>
      </c>
      <c r="E99" s="19" t="s">
        <v>10</v>
      </c>
      <c r="F99" s="20" t="s">
        <v>143</v>
      </c>
      <c r="G99" s="20">
        <v>27.716699999999999</v>
      </c>
      <c r="H99" s="20">
        <v>-29.520800000000001</v>
      </c>
      <c r="I99" s="21" t="s">
        <v>59</v>
      </c>
      <c r="J99" s="22" t="s">
        <v>13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4.5" x14ac:dyDescent="0.35">
      <c r="A100" s="7">
        <v>99</v>
      </c>
      <c r="B100" s="23" t="s">
        <v>215</v>
      </c>
      <c r="C100" s="17">
        <v>45</v>
      </c>
      <c r="D100" s="18">
        <v>24.858202956555271</v>
      </c>
      <c r="E100" s="19" t="s">
        <v>121</v>
      </c>
      <c r="F100" s="20" t="s">
        <v>216</v>
      </c>
      <c r="G100" s="20" t="s">
        <v>217</v>
      </c>
      <c r="H100" s="20" t="s">
        <v>218</v>
      </c>
      <c r="I100" s="21" t="s">
        <v>152</v>
      </c>
      <c r="J100" s="22" t="s">
        <v>13</v>
      </c>
      <c r="K100" s="15"/>
      <c r="L100" s="15"/>
      <c r="M100" s="15"/>
    </row>
    <row r="101" spans="1:27" ht="14.5" x14ac:dyDescent="0.35">
      <c r="A101" s="7">
        <v>100</v>
      </c>
      <c r="B101" s="23" t="s">
        <v>219</v>
      </c>
      <c r="C101" s="17">
        <v>45.1</v>
      </c>
      <c r="D101" s="18">
        <v>20.128226614716286</v>
      </c>
      <c r="E101" s="19" t="s">
        <v>121</v>
      </c>
      <c r="F101" s="20" t="s">
        <v>220</v>
      </c>
      <c r="G101" s="20">
        <v>-57.636200000000002</v>
      </c>
      <c r="H101" s="20">
        <v>-25.3005</v>
      </c>
      <c r="I101" s="21" t="s">
        <v>152</v>
      </c>
      <c r="J101" s="22" t="s">
        <v>60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4.5" x14ac:dyDescent="0.35">
      <c r="A102" s="7">
        <v>101</v>
      </c>
      <c r="B102" s="23" t="s">
        <v>221</v>
      </c>
      <c r="C102" s="17">
        <v>46.7</v>
      </c>
      <c r="D102" s="18">
        <v>44.535865725607486</v>
      </c>
      <c r="E102" s="19" t="s">
        <v>121</v>
      </c>
      <c r="F102" s="20" t="s">
        <v>222</v>
      </c>
      <c r="G102" s="20" t="s">
        <v>223</v>
      </c>
      <c r="H102" s="20" t="s">
        <v>224</v>
      </c>
      <c r="I102" s="21" t="s">
        <v>152</v>
      </c>
      <c r="J102" s="22" t="s">
        <v>60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4.5" x14ac:dyDescent="0.35">
      <c r="A103" s="7">
        <v>102</v>
      </c>
      <c r="B103" s="23" t="s">
        <v>144</v>
      </c>
      <c r="C103" s="17">
        <v>48.2</v>
      </c>
      <c r="D103" s="18">
        <v>17.317585361199164</v>
      </c>
      <c r="E103" s="19" t="s">
        <v>121</v>
      </c>
      <c r="F103" s="20" t="s">
        <v>145</v>
      </c>
      <c r="G103" s="20" t="s">
        <v>146</v>
      </c>
      <c r="H103" s="20" t="s">
        <v>147</v>
      </c>
      <c r="I103" s="21" t="s">
        <v>59</v>
      </c>
      <c r="J103" s="22" t="s">
        <v>13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4.5" x14ac:dyDescent="0.35">
      <c r="A104" s="7">
        <v>103</v>
      </c>
      <c r="B104" s="23" t="s">
        <v>225</v>
      </c>
      <c r="C104" s="17">
        <v>48.3</v>
      </c>
      <c r="D104" s="18">
        <v>17.402441240315614</v>
      </c>
      <c r="E104" s="19" t="s">
        <v>121</v>
      </c>
      <c r="F104" s="20" t="s">
        <v>226</v>
      </c>
      <c r="G104" s="20" t="s">
        <v>227</v>
      </c>
      <c r="H104" s="20" t="s">
        <v>228</v>
      </c>
      <c r="I104" s="21" t="s">
        <v>152</v>
      </c>
      <c r="J104" s="22" t="s">
        <v>60</v>
      </c>
      <c r="K104" s="15"/>
      <c r="L104" s="15"/>
      <c r="M104" s="15"/>
    </row>
    <row r="105" spans="1:27" ht="14.5" x14ac:dyDescent="0.35">
      <c r="A105" s="7">
        <v>104</v>
      </c>
      <c r="B105" s="23" t="s">
        <v>358</v>
      </c>
      <c r="C105" s="17">
        <v>48.9</v>
      </c>
      <c r="D105" s="18">
        <v>31.625906817072384</v>
      </c>
      <c r="E105" s="32" t="s">
        <v>121</v>
      </c>
      <c r="F105" s="20" t="s">
        <v>359</v>
      </c>
      <c r="G105" s="20">
        <v>-79.518799999999999</v>
      </c>
      <c r="H105" s="20">
        <v>8.9942700000000002</v>
      </c>
      <c r="I105" s="33" t="s">
        <v>247</v>
      </c>
      <c r="J105" s="15" t="s">
        <v>60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4.5" x14ac:dyDescent="0.35">
      <c r="A106" s="7">
        <v>105</v>
      </c>
      <c r="B106" s="23" t="s">
        <v>148</v>
      </c>
      <c r="C106" s="17">
        <v>50.3</v>
      </c>
      <c r="D106" s="18">
        <v>25.417027964794372</v>
      </c>
      <c r="E106" s="19" t="s">
        <v>10</v>
      </c>
      <c r="F106" s="20" t="s">
        <v>149</v>
      </c>
      <c r="G106" s="20">
        <v>31.0672</v>
      </c>
      <c r="H106" s="20">
        <v>-17.831199999999999</v>
      </c>
      <c r="I106" s="21" t="s">
        <v>59</v>
      </c>
      <c r="J106" s="22" t="s">
        <v>66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4.5" x14ac:dyDescent="0.35">
      <c r="A107" s="7">
        <v>106</v>
      </c>
      <c r="B107" s="23" t="s">
        <v>51</v>
      </c>
      <c r="C107" s="17">
        <v>51.5</v>
      </c>
      <c r="D107" s="18">
        <v>25.071574860837124</v>
      </c>
      <c r="E107" s="19" t="s">
        <v>10</v>
      </c>
      <c r="F107" s="20" t="s">
        <v>52</v>
      </c>
      <c r="G107" s="20">
        <v>28.293700000000001</v>
      </c>
      <c r="H107" s="20">
        <v>-15.398199999999999</v>
      </c>
      <c r="I107" s="21" t="s">
        <v>12</v>
      </c>
      <c r="J107" s="22" t="s">
        <v>13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4.5" x14ac:dyDescent="0.35">
      <c r="A108" s="7">
        <v>107</v>
      </c>
      <c r="B108" s="23" t="s">
        <v>229</v>
      </c>
      <c r="C108" s="17">
        <v>52</v>
      </c>
      <c r="D108" s="18">
        <v>21.807634169918206</v>
      </c>
      <c r="E108" s="19" t="s">
        <v>121</v>
      </c>
      <c r="F108" s="20" t="s">
        <v>230</v>
      </c>
      <c r="G108" s="20" t="s">
        <v>231</v>
      </c>
      <c r="H108" s="20" t="s">
        <v>232</v>
      </c>
      <c r="I108" s="21" t="s">
        <v>152</v>
      </c>
      <c r="J108" s="22" t="s">
        <v>60</v>
      </c>
      <c r="K108" s="15"/>
      <c r="L108" s="15"/>
      <c r="M108" s="15"/>
    </row>
    <row r="109" spans="1:27" ht="14.5" x14ac:dyDescent="0.35">
      <c r="A109" s="7">
        <v>108</v>
      </c>
      <c r="B109" s="23" t="s">
        <v>233</v>
      </c>
      <c r="C109" s="17">
        <v>53.3</v>
      </c>
      <c r="D109" s="18">
        <v>55.563597741150716</v>
      </c>
      <c r="E109" s="19" t="s">
        <v>10</v>
      </c>
      <c r="F109" s="20" t="s">
        <v>234</v>
      </c>
      <c r="G109" s="20" t="s">
        <v>235</v>
      </c>
      <c r="H109" s="20" t="s">
        <v>236</v>
      </c>
      <c r="I109" s="21" t="s">
        <v>152</v>
      </c>
      <c r="J109" s="22" t="s">
        <v>60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4.5" x14ac:dyDescent="0.35">
      <c r="A110" s="7">
        <v>109</v>
      </c>
      <c r="B110" s="23" t="s">
        <v>237</v>
      </c>
      <c r="C110" s="17">
        <v>54.8</v>
      </c>
      <c r="D110" s="18">
        <v>23.802037349604866</v>
      </c>
      <c r="E110" s="19" t="s">
        <v>121</v>
      </c>
      <c r="F110" s="20" t="s">
        <v>238</v>
      </c>
      <c r="G110" s="20" t="s">
        <v>239</v>
      </c>
      <c r="H110" s="20" t="s">
        <v>240</v>
      </c>
      <c r="I110" s="21" t="s">
        <v>152</v>
      </c>
      <c r="J110" s="22" t="s">
        <v>60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4.5" x14ac:dyDescent="0.35">
      <c r="A111" s="7">
        <v>110</v>
      </c>
      <c r="B111" s="23" t="s">
        <v>241</v>
      </c>
      <c r="C111" s="17">
        <v>59.1</v>
      </c>
      <c r="D111" s="18">
        <v>33.875980238841983</v>
      </c>
      <c r="E111" s="32" t="s">
        <v>10</v>
      </c>
      <c r="F111" s="20" t="s">
        <v>242</v>
      </c>
      <c r="G111" s="20">
        <v>17.0931</v>
      </c>
      <c r="H111" s="20">
        <v>-22.564800000000002</v>
      </c>
      <c r="I111" s="33" t="s">
        <v>152</v>
      </c>
      <c r="J111" s="15" t="s">
        <v>60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4.5" x14ac:dyDescent="0.35">
      <c r="A112" s="7">
        <v>111</v>
      </c>
      <c r="B112" s="23" t="s">
        <v>243</v>
      </c>
      <c r="C112" s="17">
        <v>63</v>
      </c>
      <c r="D112" s="18">
        <v>31.910535827635012</v>
      </c>
      <c r="E112" s="19" t="s">
        <v>10</v>
      </c>
      <c r="F112" s="20" t="s">
        <v>244</v>
      </c>
      <c r="G112" s="20">
        <v>28.187100000000001</v>
      </c>
      <c r="H112" s="20">
        <v>-25.745999999999999</v>
      </c>
      <c r="I112" s="21" t="s">
        <v>152</v>
      </c>
      <c r="J112" s="22" t="s">
        <v>60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4.5" x14ac:dyDescent="0.35">
      <c r="A113" s="7">
        <v>112</v>
      </c>
      <c r="B113" s="23" t="s">
        <v>360</v>
      </c>
      <c r="C113" s="17"/>
      <c r="D113" s="18">
        <v>16.590074742286312</v>
      </c>
      <c r="E113" s="19" t="s">
        <v>70</v>
      </c>
      <c r="F113" s="20" t="s">
        <v>361</v>
      </c>
      <c r="G113" s="20" t="s">
        <v>362</v>
      </c>
      <c r="H113" s="20" t="s">
        <v>363</v>
      </c>
      <c r="I113" s="21" t="s">
        <v>59</v>
      </c>
      <c r="J113" s="22" t="s">
        <v>13</v>
      </c>
      <c r="K113" s="15"/>
      <c r="L113" s="15"/>
      <c r="M113" s="15"/>
    </row>
    <row r="114" spans="1:27" ht="14.5" x14ac:dyDescent="0.35">
      <c r="A114" s="7">
        <v>113</v>
      </c>
      <c r="B114" s="16" t="s">
        <v>364</v>
      </c>
      <c r="C114" s="17"/>
      <c r="D114" s="18">
        <v>106.1642276771675</v>
      </c>
      <c r="E114" s="19" t="s">
        <v>70</v>
      </c>
      <c r="F114" s="20" t="s">
        <v>365</v>
      </c>
      <c r="G114" s="20">
        <v>174.77600000000001</v>
      </c>
      <c r="H114" s="20">
        <v>-41.286499999999997</v>
      </c>
      <c r="I114" s="21" t="s">
        <v>247</v>
      </c>
      <c r="J114" s="22" t="s">
        <v>248</v>
      </c>
      <c r="K114" s="15"/>
      <c r="L114" s="15"/>
      <c r="M114" s="15"/>
    </row>
    <row r="115" spans="1:27" ht="14.5" x14ac:dyDescent="0.35">
      <c r="A115" s="7">
        <v>114</v>
      </c>
      <c r="B115" s="23" t="s">
        <v>366</v>
      </c>
      <c r="C115" s="17"/>
      <c r="D115" s="52">
        <v>19.343965166494854</v>
      </c>
      <c r="E115" s="19" t="s">
        <v>64</v>
      </c>
      <c r="F115" s="20" t="s">
        <v>367</v>
      </c>
      <c r="G115" s="20" t="s">
        <v>368</v>
      </c>
      <c r="H115" s="20" t="s">
        <v>369</v>
      </c>
      <c r="I115" s="21" t="s">
        <v>12</v>
      </c>
      <c r="J115" s="22" t="s">
        <v>13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4.5" x14ac:dyDescent="0.35">
      <c r="A116" s="7"/>
      <c r="B116" s="53" t="s">
        <v>370</v>
      </c>
      <c r="C116" s="54"/>
      <c r="D116" s="55">
        <v>28.374109106788062</v>
      </c>
      <c r="E116" s="56"/>
      <c r="F116" s="57"/>
      <c r="G116" s="57"/>
      <c r="H116" s="57"/>
      <c r="I116" s="58"/>
      <c r="J116" s="57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</row>
    <row r="117" spans="1:27" ht="14.5" x14ac:dyDescent="0.35">
      <c r="A117" s="7"/>
      <c r="B117" s="60" t="s">
        <v>371</v>
      </c>
      <c r="C117" s="61">
        <f>MEDIAN(C2:C115)</f>
        <v>34.799999999999997</v>
      </c>
      <c r="D117" s="18">
        <v>24.990060824374083</v>
      </c>
      <c r="E117" s="62"/>
      <c r="I117" s="63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4.5" x14ac:dyDescent="0.35">
      <c r="A118" s="7"/>
      <c r="B118" s="64" t="s">
        <v>372</v>
      </c>
      <c r="C118" s="65">
        <f>AVERAGE(C2:C115)</f>
        <v>36.436936936936938</v>
      </c>
      <c r="D118" s="66">
        <v>35.427211873475756</v>
      </c>
      <c r="E118" s="62"/>
      <c r="I118" s="63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4.5" x14ac:dyDescent="0.35">
      <c r="A119" s="7"/>
      <c r="B119" s="67" t="s">
        <v>373</v>
      </c>
      <c r="C119" s="68">
        <f>MIN(C2:C115)</f>
        <v>24.1</v>
      </c>
      <c r="D119" s="10">
        <v>8.410557562573036</v>
      </c>
      <c r="E119" s="62"/>
      <c r="I119" s="63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4.5" x14ac:dyDescent="0.35">
      <c r="A120" s="7"/>
      <c r="B120" s="69" t="s">
        <v>374</v>
      </c>
      <c r="C120" s="70">
        <f>MAX(C2:C115)</f>
        <v>63</v>
      </c>
      <c r="D120" s="71">
        <v>117.83967082171201</v>
      </c>
      <c r="E120" s="62"/>
      <c r="I120" s="63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4.5" x14ac:dyDescent="0.35">
      <c r="A121" s="7"/>
      <c r="B121" s="72" t="s">
        <v>375</v>
      </c>
      <c r="C121" s="73">
        <f>QUARTILE(C2:C115,1)</f>
        <v>31.8</v>
      </c>
      <c r="D121" s="74">
        <v>19.042803802033635</v>
      </c>
      <c r="E121" s="75"/>
      <c r="F121" s="76"/>
      <c r="G121" s="76"/>
      <c r="H121" s="76"/>
      <c r="I121" s="77"/>
      <c r="J121" s="76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</row>
    <row r="122" spans="1:27" ht="14.5" x14ac:dyDescent="0.35">
      <c r="A122" s="7"/>
      <c r="B122" s="72" t="s">
        <v>376</v>
      </c>
      <c r="C122" s="79">
        <f>QUARTILE(C2:C115,3)</f>
        <v>40.650000000000006</v>
      </c>
      <c r="D122" s="80">
        <v>43.474951355817595</v>
      </c>
      <c r="E122" s="75"/>
      <c r="F122" s="76"/>
      <c r="G122" s="76"/>
      <c r="H122" s="76"/>
      <c r="I122" s="77"/>
      <c r="J122" s="76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</row>
    <row r="123" spans="1:27" ht="14.5" x14ac:dyDescent="0.35">
      <c r="A123" s="7"/>
      <c r="B123" s="81"/>
      <c r="C123" s="82"/>
      <c r="D123" s="82"/>
      <c r="E123" s="75"/>
      <c r="F123" s="76"/>
      <c r="G123" s="76"/>
      <c r="H123" s="76"/>
      <c r="I123" s="77"/>
      <c r="J123" s="76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</row>
    <row r="124" spans="1:27" ht="14.5" x14ac:dyDescent="0.35">
      <c r="A124" s="7"/>
      <c r="B124" s="81"/>
      <c r="C124" s="82"/>
      <c r="D124" s="82"/>
      <c r="E124" s="75"/>
      <c r="F124" s="76"/>
      <c r="G124" s="76"/>
      <c r="H124" s="76"/>
      <c r="I124" s="77"/>
      <c r="J124" s="76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</row>
    <row r="125" spans="1:27" ht="14.5" x14ac:dyDescent="0.35">
      <c r="A125" s="7"/>
      <c r="B125" s="81"/>
      <c r="C125" s="82"/>
      <c r="D125" s="82"/>
      <c r="E125" s="75"/>
      <c r="F125" s="76"/>
      <c r="G125" s="76"/>
      <c r="H125" s="76"/>
      <c r="I125" s="77"/>
      <c r="J125" s="76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</row>
    <row r="126" spans="1:27" ht="14.5" x14ac:dyDescent="0.35">
      <c r="A126" s="7"/>
      <c r="B126" s="81"/>
      <c r="C126" s="82"/>
      <c r="D126" s="82"/>
      <c r="E126" s="75"/>
      <c r="F126" s="76"/>
      <c r="G126" s="76"/>
      <c r="H126" s="76"/>
      <c r="I126" s="77"/>
      <c r="J126" s="76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</row>
    <row r="127" spans="1:27" ht="14.5" x14ac:dyDescent="0.35">
      <c r="A127" s="7"/>
      <c r="B127" s="81"/>
      <c r="C127" s="82"/>
      <c r="D127" s="82"/>
      <c r="E127" s="75"/>
      <c r="F127" s="76"/>
      <c r="G127" s="76"/>
      <c r="H127" s="76"/>
      <c r="I127" s="77"/>
      <c r="J127" s="76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</row>
    <row r="128" spans="1:27" ht="14.5" x14ac:dyDescent="0.35">
      <c r="A128" s="7"/>
      <c r="B128" s="81"/>
      <c r="C128" s="82"/>
      <c r="D128" s="82"/>
      <c r="E128" s="75"/>
      <c r="F128" s="76"/>
      <c r="G128" s="76"/>
      <c r="H128" s="76"/>
      <c r="I128" s="77"/>
      <c r="J128" s="76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</row>
    <row r="129" spans="1:27" ht="14.5" x14ac:dyDescent="0.35">
      <c r="A129" s="7"/>
      <c r="B129" s="81"/>
      <c r="C129" s="82"/>
      <c r="D129" s="82"/>
      <c r="E129" s="75"/>
      <c r="F129" s="76"/>
      <c r="G129" s="76"/>
      <c r="H129" s="76"/>
      <c r="I129" s="77"/>
      <c r="J129" s="76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</row>
    <row r="130" spans="1:27" ht="14.5" x14ac:dyDescent="0.35">
      <c r="A130" s="7"/>
      <c r="B130" s="81"/>
      <c r="C130" s="82"/>
      <c r="D130" s="82"/>
      <c r="E130" s="75"/>
      <c r="F130" s="76"/>
      <c r="G130" s="76"/>
      <c r="H130" s="76"/>
      <c r="I130" s="77"/>
      <c r="J130" s="76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</row>
    <row r="131" spans="1:27" ht="14.5" x14ac:dyDescent="0.35">
      <c r="A131" s="7"/>
      <c r="B131" s="81"/>
      <c r="C131" s="82"/>
      <c r="D131" s="82"/>
      <c r="E131" s="75"/>
      <c r="F131" s="76"/>
      <c r="G131" s="76"/>
      <c r="H131" s="76"/>
      <c r="I131" s="77"/>
      <c r="J131" s="76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</row>
    <row r="132" spans="1:27" ht="14.5" x14ac:dyDescent="0.35">
      <c r="A132" s="7"/>
      <c r="B132" s="81"/>
      <c r="C132" s="82"/>
      <c r="D132" s="82"/>
      <c r="E132" s="75"/>
      <c r="F132" s="76"/>
      <c r="G132" s="76"/>
      <c r="H132" s="76"/>
      <c r="I132" s="77"/>
      <c r="J132" s="76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</row>
    <row r="133" spans="1:27" ht="14.5" x14ac:dyDescent="0.35">
      <c r="A133" s="81"/>
      <c r="B133" s="81"/>
      <c r="C133" s="82"/>
      <c r="D133" s="82"/>
      <c r="E133" s="75"/>
      <c r="F133" s="76"/>
      <c r="G133" s="76"/>
      <c r="H133" s="76"/>
      <c r="I133" s="77"/>
      <c r="J133" s="76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</row>
    <row r="134" spans="1:27" ht="14.5" x14ac:dyDescent="0.35">
      <c r="A134" s="81"/>
      <c r="B134" s="81"/>
      <c r="C134" s="82"/>
      <c r="D134" s="82"/>
      <c r="E134" s="75"/>
      <c r="F134" s="76"/>
      <c r="G134" s="76"/>
      <c r="H134" s="76"/>
      <c r="I134" s="77"/>
      <c r="J134" s="76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</row>
    <row r="135" spans="1:27" ht="14.5" x14ac:dyDescent="0.35">
      <c r="A135" s="81"/>
      <c r="B135" s="81"/>
      <c r="C135" s="82"/>
      <c r="D135" s="82"/>
      <c r="E135" s="75"/>
      <c r="F135" s="76"/>
      <c r="G135" s="76"/>
      <c r="H135" s="76"/>
      <c r="I135" s="77"/>
      <c r="J135" s="76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</row>
    <row r="136" spans="1:27" ht="14.5" x14ac:dyDescent="0.35">
      <c r="A136" s="81"/>
      <c r="B136" s="81"/>
      <c r="C136" s="82"/>
      <c r="D136" s="82"/>
      <c r="E136" s="75"/>
      <c r="F136" s="76"/>
      <c r="G136" s="76"/>
      <c r="H136" s="76"/>
      <c r="I136" s="77"/>
      <c r="J136" s="76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3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328125" defaultRowHeight="15.75" customHeight="1" x14ac:dyDescent="0.25"/>
  <cols>
    <col min="1" max="1" width="4" customWidth="1"/>
    <col min="2" max="2" width="17" customWidth="1"/>
    <col min="3" max="3" width="10.6328125" customWidth="1"/>
    <col min="4" max="4" width="13.6328125" customWidth="1"/>
    <col min="5" max="5" width="12.26953125" customWidth="1"/>
    <col min="6" max="6" width="12.36328125" customWidth="1"/>
    <col min="7" max="7" width="12.08984375" customWidth="1"/>
    <col min="8" max="8" width="13.90625" customWidth="1"/>
    <col min="9" max="9" width="14.453125" customWidth="1"/>
    <col min="10" max="10" width="15.453125" customWidth="1"/>
    <col min="11" max="11" width="10.26953125" customWidth="1"/>
    <col min="12" max="12" width="22.6328125" customWidth="1"/>
    <col min="13" max="13" width="11.26953125" customWidth="1"/>
    <col min="14" max="14" width="12.36328125" customWidth="1"/>
    <col min="15" max="15" width="11" customWidth="1"/>
    <col min="16" max="16" width="15.453125" customWidth="1"/>
    <col min="17" max="17" width="10.453125" customWidth="1"/>
    <col min="18" max="18" width="7.6328125" customWidth="1"/>
    <col min="19" max="19" width="12.08984375" customWidth="1"/>
    <col min="20" max="20" width="10.453125" customWidth="1"/>
    <col min="21" max="21" width="9.7265625" customWidth="1"/>
    <col min="22" max="22" width="14.453125" customWidth="1"/>
    <col min="23" max="23" width="12.26953125" customWidth="1"/>
    <col min="24" max="24" width="7.6328125" customWidth="1"/>
    <col min="25" max="25" width="11.26953125" customWidth="1"/>
    <col min="26" max="30" width="15.6328125" customWidth="1"/>
    <col min="31" max="35" width="18.7265625" customWidth="1"/>
    <col min="36" max="36" width="15.6328125" customWidth="1"/>
    <col min="37" max="39" width="16.36328125" customWidth="1"/>
    <col min="40" max="40" width="18.90625" customWidth="1"/>
    <col min="41" max="41" width="18" customWidth="1"/>
    <col min="42" max="42" width="23.6328125" customWidth="1"/>
    <col min="43" max="43" width="7.6328125" customWidth="1"/>
    <col min="44" max="44" width="11" customWidth="1"/>
    <col min="45" max="45" width="10.6328125" customWidth="1"/>
    <col min="46" max="46" width="18" customWidth="1"/>
    <col min="47" max="47" width="15.453125" customWidth="1"/>
    <col min="48" max="50" width="7.6328125" customWidth="1"/>
    <col min="51" max="51" width="12.36328125" customWidth="1"/>
    <col min="52" max="52" width="18.7265625" customWidth="1"/>
    <col min="53" max="53" width="7.6328125" customWidth="1"/>
    <col min="54" max="54" width="12.36328125" customWidth="1"/>
    <col min="55" max="55" width="16.36328125" customWidth="1"/>
    <col min="56" max="56" width="7.6328125" customWidth="1"/>
    <col min="57" max="57" width="12.36328125" customWidth="1"/>
    <col min="58" max="58" width="15.6328125" customWidth="1"/>
    <col min="59" max="71" width="7.6328125" customWidth="1"/>
  </cols>
  <sheetData>
    <row r="1" spans="1:71" ht="15.75" customHeight="1" x14ac:dyDescent="0.25">
      <c r="A1" s="1"/>
      <c r="B1" s="83" t="s">
        <v>0</v>
      </c>
      <c r="C1" s="89" t="s">
        <v>377</v>
      </c>
      <c r="D1" s="89" t="s">
        <v>378</v>
      </c>
      <c r="E1" s="89" t="s">
        <v>379</v>
      </c>
      <c r="F1" s="90" t="s">
        <v>380</v>
      </c>
      <c r="G1" s="83" t="s">
        <v>381</v>
      </c>
      <c r="H1" s="89" t="s">
        <v>382</v>
      </c>
      <c r="I1" s="91" t="s">
        <v>383</v>
      </c>
      <c r="J1" s="92" t="s">
        <v>384</v>
      </c>
      <c r="K1" s="91" t="s">
        <v>385</v>
      </c>
      <c r="L1" s="93" t="s">
        <v>386</v>
      </c>
      <c r="M1" s="89" t="s">
        <v>387</v>
      </c>
      <c r="N1" s="94" t="s">
        <v>388</v>
      </c>
      <c r="O1" s="90" t="s">
        <v>389</v>
      </c>
      <c r="P1" s="94" t="s">
        <v>390</v>
      </c>
      <c r="Q1" s="89" t="s">
        <v>391</v>
      </c>
      <c r="R1" s="89" t="s">
        <v>392</v>
      </c>
      <c r="S1" s="91" t="s">
        <v>393</v>
      </c>
      <c r="T1" s="95" t="s">
        <v>1</v>
      </c>
      <c r="U1" s="90" t="s">
        <v>394</v>
      </c>
      <c r="V1" s="83" t="s">
        <v>395</v>
      </c>
      <c r="W1" s="91" t="s">
        <v>396</v>
      </c>
      <c r="X1" s="96" t="s">
        <v>397</v>
      </c>
      <c r="Y1" s="90" t="s">
        <v>398</v>
      </c>
      <c r="Z1" s="97" t="s">
        <v>399</v>
      </c>
      <c r="AA1" s="98" t="s">
        <v>400</v>
      </c>
      <c r="AB1" s="99" t="s">
        <v>401</v>
      </c>
      <c r="AC1" s="4" t="s">
        <v>2</v>
      </c>
      <c r="AD1" s="100" t="s">
        <v>402</v>
      </c>
      <c r="AE1" s="101" t="s">
        <v>403</v>
      </c>
      <c r="AF1" s="102" t="s">
        <v>404</v>
      </c>
      <c r="AG1" s="103" t="s">
        <v>405</v>
      </c>
      <c r="AH1" s="104" t="s">
        <v>406</v>
      </c>
      <c r="AI1" s="105" t="s">
        <v>407</v>
      </c>
      <c r="AJ1" s="106" t="s">
        <v>408</v>
      </c>
      <c r="AK1" s="107" t="s">
        <v>409</v>
      </c>
      <c r="AL1" s="107" t="s">
        <v>410</v>
      </c>
      <c r="AM1" s="108" t="s">
        <v>411</v>
      </c>
      <c r="AN1" s="109" t="s">
        <v>412</v>
      </c>
      <c r="AO1" s="110" t="s">
        <v>413</v>
      </c>
      <c r="AP1" s="111" t="s">
        <v>3</v>
      </c>
      <c r="AQ1" s="86" t="s">
        <v>4</v>
      </c>
      <c r="AR1" s="86" t="s">
        <v>5</v>
      </c>
      <c r="AS1" s="86" t="s">
        <v>6</v>
      </c>
      <c r="AT1" s="112" t="s">
        <v>7</v>
      </c>
      <c r="AU1" s="87" t="s">
        <v>8</v>
      </c>
      <c r="AV1" s="1"/>
      <c r="AW1" s="1"/>
      <c r="AX1" s="1"/>
      <c r="AY1" s="94" t="s">
        <v>414</v>
      </c>
      <c r="AZ1" s="105" t="s">
        <v>407</v>
      </c>
      <c r="BA1" s="1"/>
      <c r="BB1" s="94" t="s">
        <v>414</v>
      </c>
      <c r="BC1" s="108" t="s">
        <v>411</v>
      </c>
      <c r="BD1" s="1"/>
      <c r="BE1" s="94" t="s">
        <v>414</v>
      </c>
      <c r="BF1" s="4" t="s">
        <v>2</v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71" ht="15.75" customHeight="1" x14ac:dyDescent="0.35">
      <c r="A2" s="7">
        <v>1</v>
      </c>
      <c r="B2" s="88" t="s">
        <v>331</v>
      </c>
      <c r="C2" s="113">
        <v>9.3253926202233792</v>
      </c>
      <c r="D2" s="113">
        <v>10.024001561827101</v>
      </c>
      <c r="E2" s="113">
        <v>8.8225873056867101</v>
      </c>
      <c r="F2" s="114">
        <v>11.2254158179675</v>
      </c>
      <c r="G2" s="46">
        <v>6.4075987093842199</v>
      </c>
      <c r="H2" s="113">
        <v>3.8768070265740602</v>
      </c>
      <c r="I2" s="115">
        <v>9.3253926202233792</v>
      </c>
      <c r="J2" s="61">
        <v>26658948</v>
      </c>
      <c r="K2" s="115">
        <v>2023</v>
      </c>
      <c r="L2" s="116">
        <v>1728057316695.6101</v>
      </c>
      <c r="M2" s="113">
        <v>2023</v>
      </c>
      <c r="N2" s="116">
        <v>64820.911789002603</v>
      </c>
      <c r="O2" s="114">
        <v>2023</v>
      </c>
      <c r="P2" s="116">
        <v>1683419888355.52</v>
      </c>
      <c r="Q2" s="113">
        <v>2023</v>
      </c>
      <c r="R2" s="113">
        <v>63150</v>
      </c>
      <c r="S2" s="115">
        <v>2023</v>
      </c>
      <c r="T2" s="47">
        <v>34.299999999999997</v>
      </c>
      <c r="U2" s="114">
        <v>2018</v>
      </c>
      <c r="V2" s="46">
        <v>5.5970149253730996</v>
      </c>
      <c r="W2" s="115">
        <v>2023</v>
      </c>
      <c r="X2" s="117">
        <v>27.726062500000001</v>
      </c>
      <c r="Y2" s="118">
        <v>2021</v>
      </c>
      <c r="Z2" s="68">
        <f t="shared" ref="Z2:AB2" si="0">(AJ2*40)* 48</f>
        <v>3279740943.3281469</v>
      </c>
      <c r="AA2" s="68">
        <f t="shared" si="0"/>
        <v>1984350661.007472</v>
      </c>
      <c r="AB2" s="119">
        <f t="shared" si="0"/>
        <v>5264091604.335619</v>
      </c>
      <c r="AC2" s="18">
        <f t="shared" ref="AC2:AC116" si="1">AA2/J2</f>
        <v>74.434694910221964</v>
      </c>
      <c r="AD2" s="120">
        <f t="shared" ref="AD2:AD115" si="2">Z2* X2</f>
        <v>90934302378.525162</v>
      </c>
      <c r="AE2" s="121">
        <f t="shared" ref="AE2:AE115" si="3">AA2* X2</f>
        <v>55018230449.009483</v>
      </c>
      <c r="AF2" s="122">
        <f t="shared" ref="AF2:AF116" si="4">AD2+AE2</f>
        <v>145952532827.53464</v>
      </c>
      <c r="AG2" s="123">
        <f t="shared" ref="AG2:AG115" si="5">AD2/L2</f>
        <v>5.2622272131811962E-2</v>
      </c>
      <c r="AH2" s="124">
        <f t="shared" ref="AH2:AH115" si="6">AE2/L2</f>
        <v>3.1838197678659932E-2</v>
      </c>
      <c r="AI2" s="125">
        <f t="shared" ref="AI2:AI115" si="7">AG2+AH2</f>
        <v>8.4460469810471894E-2</v>
      </c>
      <c r="AJ2" s="126">
        <v>1708198.4079834099</v>
      </c>
      <c r="AK2" s="127">
        <v>1033515.969274725</v>
      </c>
      <c r="AL2" s="127">
        <f t="shared" ref="AL2:AL115" si="8">AJ2+AK2</f>
        <v>2741714.377258135</v>
      </c>
      <c r="AM2" s="128">
        <f>AJ2/AL2</f>
        <v>0.62304024888679399</v>
      </c>
      <c r="AN2" s="129">
        <f t="shared" ref="AN2:AN115" si="9">AJ2/AL2</f>
        <v>0.62304024888679399</v>
      </c>
      <c r="AO2" s="130">
        <f t="shared" ref="AO2:AO115" si="10">AK2/AL2</f>
        <v>0.3769597511132059</v>
      </c>
      <c r="AP2" s="19" t="s">
        <v>70</v>
      </c>
      <c r="AQ2" s="20" t="s">
        <v>332</v>
      </c>
      <c r="AR2" s="20" t="s">
        <v>333</v>
      </c>
      <c r="AS2" s="20" t="s">
        <v>334</v>
      </c>
      <c r="AT2" s="21" t="s">
        <v>247</v>
      </c>
      <c r="AU2" s="22" t="s">
        <v>248</v>
      </c>
      <c r="AV2" s="15"/>
      <c r="AW2" s="15"/>
      <c r="AX2" s="15"/>
      <c r="AY2" s="116">
        <v>49463.855461734303</v>
      </c>
      <c r="AZ2" s="125">
        <v>9.5653896727593724E-2</v>
      </c>
      <c r="BA2" s="15"/>
      <c r="BB2" s="116">
        <v>49463.855461734303</v>
      </c>
      <c r="BC2" s="131">
        <v>0.35192257848821012</v>
      </c>
      <c r="BD2" s="15"/>
      <c r="BE2" s="116">
        <v>49463.855461734303</v>
      </c>
      <c r="BF2" s="18">
        <v>78.217314487905242</v>
      </c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</row>
    <row r="3" spans="1:71" ht="15.75" customHeight="1" x14ac:dyDescent="0.35">
      <c r="A3" s="7">
        <v>2</v>
      </c>
      <c r="B3" s="23" t="s">
        <v>360</v>
      </c>
      <c r="C3" s="132"/>
      <c r="D3" s="132">
        <v>2.2035576770055201</v>
      </c>
      <c r="E3" s="132">
        <v>1.37232229537538</v>
      </c>
      <c r="F3" s="133">
        <v>3.03479305863566</v>
      </c>
      <c r="G3" s="23">
        <v>1.4192451361634899</v>
      </c>
      <c r="H3" s="132">
        <v>0.86406639282741204</v>
      </c>
      <c r="I3" s="134">
        <v>2.2035576770055201</v>
      </c>
      <c r="J3" s="135">
        <v>17423880</v>
      </c>
      <c r="K3" s="134">
        <v>2023</v>
      </c>
      <c r="L3" s="136">
        <v>42335646895.798401</v>
      </c>
      <c r="M3" s="132">
        <v>2023</v>
      </c>
      <c r="N3" s="136">
        <v>2429.7485345283799</v>
      </c>
      <c r="O3" s="133">
        <v>2023</v>
      </c>
      <c r="P3" s="136">
        <v>41658227478.817802</v>
      </c>
      <c r="Q3" s="132">
        <v>2023</v>
      </c>
      <c r="R3" s="132">
        <v>2390</v>
      </c>
      <c r="S3" s="134">
        <v>2023</v>
      </c>
      <c r="T3" s="17"/>
      <c r="U3" s="133"/>
      <c r="V3" s="23">
        <v>2.12746796594194</v>
      </c>
      <c r="W3" s="134">
        <v>2023</v>
      </c>
      <c r="X3" s="137">
        <v>1.2490000000000001</v>
      </c>
      <c r="Y3" s="133">
        <v>2021</v>
      </c>
      <c r="Z3" s="135">
        <f t="shared" ref="Z3:AB3" si="11">(AJ3*40)* 48</f>
        <v>474792133.3074491</v>
      </c>
      <c r="AA3" s="135">
        <f t="shared" si="11"/>
        <v>289063471.50062764</v>
      </c>
      <c r="AB3" s="138">
        <f t="shared" si="11"/>
        <v>763855604.80807674</v>
      </c>
      <c r="AC3" s="18">
        <f t="shared" si="1"/>
        <v>16.590074742286312</v>
      </c>
      <c r="AD3" s="120">
        <f t="shared" si="2"/>
        <v>593015374.50100398</v>
      </c>
      <c r="AE3" s="121">
        <f t="shared" si="3"/>
        <v>361040275.90428394</v>
      </c>
      <c r="AF3" s="122">
        <f t="shared" si="4"/>
        <v>954055650.40528798</v>
      </c>
      <c r="AG3" s="123">
        <f t="shared" si="5"/>
        <v>1.4007471669456355E-2</v>
      </c>
      <c r="AH3" s="124">
        <f t="shared" si="6"/>
        <v>8.5280443875800412E-3</v>
      </c>
      <c r="AI3" s="125">
        <f t="shared" si="7"/>
        <v>2.2535516057036395E-2</v>
      </c>
      <c r="AJ3" s="139">
        <v>247287.56943096311</v>
      </c>
      <c r="AK3" s="140">
        <v>150553.89140657691</v>
      </c>
      <c r="AL3" s="140">
        <f t="shared" si="8"/>
        <v>397841.46083753998</v>
      </c>
      <c r="AM3" s="131">
        <f t="shared" ref="AM3:AM4" si="12">AE3/(AD3+AE3)</f>
        <v>0.37842685146397076</v>
      </c>
      <c r="AN3" s="129">
        <f t="shared" si="9"/>
        <v>0.6215731485360293</v>
      </c>
      <c r="AO3" s="130">
        <f t="shared" si="10"/>
        <v>0.37842685146397081</v>
      </c>
      <c r="AP3" s="19" t="s">
        <v>70</v>
      </c>
      <c r="AQ3" s="20" t="s">
        <v>361</v>
      </c>
      <c r="AR3" s="20" t="s">
        <v>362</v>
      </c>
      <c r="AS3" s="20" t="s">
        <v>363</v>
      </c>
      <c r="AT3" s="21" t="s">
        <v>59</v>
      </c>
      <c r="AU3" s="22" t="s">
        <v>13</v>
      </c>
      <c r="AV3" s="15"/>
      <c r="AW3" s="15"/>
      <c r="AX3" s="15"/>
      <c r="AY3" s="35"/>
      <c r="AZ3" s="125"/>
      <c r="BA3" s="15"/>
      <c r="BB3" s="136"/>
      <c r="BC3" s="131"/>
      <c r="BD3" s="15"/>
      <c r="BE3" s="136"/>
      <c r="BF3" s="18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</row>
    <row r="4" spans="1:71" ht="15.75" customHeight="1" x14ac:dyDescent="0.35">
      <c r="A4" s="7">
        <v>3</v>
      </c>
      <c r="B4" s="23" t="s">
        <v>105</v>
      </c>
      <c r="C4" s="132"/>
      <c r="D4" s="132">
        <v>2.1863858382752501</v>
      </c>
      <c r="E4" s="132">
        <v>1.3703934945740901</v>
      </c>
      <c r="F4" s="133">
        <v>3.0023781819764102</v>
      </c>
      <c r="G4" s="23">
        <v>1.3827281007285701</v>
      </c>
      <c r="H4" s="132">
        <v>0.79634256133509296</v>
      </c>
      <c r="I4" s="134">
        <v>2.1863858382752501</v>
      </c>
      <c r="J4" s="135">
        <v>281190067</v>
      </c>
      <c r="K4" s="134">
        <v>2023</v>
      </c>
      <c r="L4" s="136">
        <v>1371171152331.1599</v>
      </c>
      <c r="M4" s="132">
        <v>2023</v>
      </c>
      <c r="N4" s="136">
        <v>4876.3143270318797</v>
      </c>
      <c r="O4" s="133">
        <v>2023</v>
      </c>
      <c r="P4" s="136">
        <v>1352588341753.9199</v>
      </c>
      <c r="Q4" s="132">
        <v>2023</v>
      </c>
      <c r="R4" s="132">
        <v>4810</v>
      </c>
      <c r="S4" s="134">
        <v>2023</v>
      </c>
      <c r="T4" s="17">
        <v>36.1</v>
      </c>
      <c r="U4" s="133">
        <v>2023</v>
      </c>
      <c r="V4" s="23">
        <v>3.6701314237700702</v>
      </c>
      <c r="W4" s="134">
        <v>2023</v>
      </c>
      <c r="X4" s="137">
        <v>1.0720000000000001</v>
      </c>
      <c r="Y4" s="133">
        <v>2023</v>
      </c>
      <c r="Z4" s="135">
        <f t="shared" ref="Z4:AB4" si="13">(AJ4*40)* 48</f>
        <v>7465140619.9036674</v>
      </c>
      <c r="AA4" s="135">
        <f t="shared" si="13"/>
        <v>4299333468.9939156</v>
      </c>
      <c r="AB4" s="138">
        <f t="shared" si="13"/>
        <v>11764474088.897583</v>
      </c>
      <c r="AC4" s="18">
        <f t="shared" si="1"/>
        <v>15.289777177633788</v>
      </c>
      <c r="AD4" s="120">
        <f t="shared" si="2"/>
        <v>8002630744.5367317</v>
      </c>
      <c r="AE4" s="121">
        <f t="shared" si="3"/>
        <v>4608885478.7614775</v>
      </c>
      <c r="AF4" s="122">
        <f t="shared" si="4"/>
        <v>12611516223.29821</v>
      </c>
      <c r="AG4" s="123">
        <f t="shared" si="5"/>
        <v>5.8363470752219905E-3</v>
      </c>
      <c r="AH4" s="124">
        <f t="shared" si="6"/>
        <v>3.3612765780010791E-3</v>
      </c>
      <c r="AI4" s="125">
        <f t="shared" si="7"/>
        <v>9.1976236532230696E-3</v>
      </c>
      <c r="AJ4" s="139">
        <v>3888094.0728664938</v>
      </c>
      <c r="AK4" s="140">
        <v>2239236.1817676639</v>
      </c>
      <c r="AL4" s="140">
        <f t="shared" si="8"/>
        <v>6127330.2546341578</v>
      </c>
      <c r="AM4" s="131">
        <f t="shared" si="12"/>
        <v>0.36545054513327541</v>
      </c>
      <c r="AN4" s="129">
        <f t="shared" si="9"/>
        <v>0.63454945486672465</v>
      </c>
      <c r="AO4" s="130">
        <f t="shared" si="10"/>
        <v>0.36545054513327535</v>
      </c>
      <c r="AP4" s="19" t="s">
        <v>70</v>
      </c>
      <c r="AQ4" s="20" t="s">
        <v>106</v>
      </c>
      <c r="AR4" s="20" t="s">
        <v>107</v>
      </c>
      <c r="AS4" s="20" t="s">
        <v>108</v>
      </c>
      <c r="AT4" s="21" t="s">
        <v>59</v>
      </c>
      <c r="AU4" s="22" t="s">
        <v>60</v>
      </c>
      <c r="AV4" s="15"/>
      <c r="AW4" s="15"/>
      <c r="AX4" s="15"/>
      <c r="AY4" s="136">
        <v>11379.086100063199</v>
      </c>
      <c r="AZ4" s="125">
        <v>1.858999220494386E-2</v>
      </c>
      <c r="BA4" s="15"/>
      <c r="BB4" s="136">
        <v>11379.086100063199</v>
      </c>
      <c r="BC4" s="131">
        <v>0.36380261769549127</v>
      </c>
      <c r="BD4" s="15"/>
      <c r="BE4" s="136">
        <v>11379.086100063199</v>
      </c>
      <c r="BF4" s="18">
        <v>20.252041759692098</v>
      </c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</row>
    <row r="5" spans="1:71" ht="15.75" customHeight="1" x14ac:dyDescent="0.35">
      <c r="A5" s="7">
        <v>4</v>
      </c>
      <c r="B5" s="16" t="s">
        <v>313</v>
      </c>
      <c r="C5" s="132">
        <v>8.2623289439710792</v>
      </c>
      <c r="D5" s="132">
        <v>8.6804897495584203</v>
      </c>
      <c r="E5" s="132">
        <v>7.8505274649447196</v>
      </c>
      <c r="F5" s="133">
        <v>9.5104520341721202</v>
      </c>
      <c r="G5" s="23">
        <v>6.3528572662790399</v>
      </c>
      <c r="H5" s="132">
        <v>2.3895311816930001</v>
      </c>
      <c r="I5" s="134">
        <v>8.2623289439710792</v>
      </c>
      <c r="J5" s="135">
        <v>124516650</v>
      </c>
      <c r="K5" s="134">
        <v>2023</v>
      </c>
      <c r="L5" s="136">
        <v>4204494802431.5498</v>
      </c>
      <c r="M5" s="132">
        <v>2023</v>
      </c>
      <c r="N5" s="136">
        <v>33766.526825380803</v>
      </c>
      <c r="O5" s="133">
        <v>2023</v>
      </c>
      <c r="P5" s="136">
        <v>4899335335841.6904</v>
      </c>
      <c r="Q5" s="132">
        <v>2023</v>
      </c>
      <c r="R5" s="132">
        <v>39350</v>
      </c>
      <c r="S5" s="134">
        <v>2023</v>
      </c>
      <c r="T5" s="17">
        <v>32.9</v>
      </c>
      <c r="U5" s="133">
        <v>2013</v>
      </c>
      <c r="V5" s="23">
        <v>3.2681336593316299</v>
      </c>
      <c r="W5" s="134">
        <v>2023</v>
      </c>
      <c r="X5" s="141">
        <v>17.505006250000001</v>
      </c>
      <c r="Y5" s="142">
        <v>2021</v>
      </c>
      <c r="Z5" s="135">
        <f t="shared" ref="Z5:AB5" si="14">(AJ5*40)* 48</f>
        <v>15187900890.7243</v>
      </c>
      <c r="AA5" s="135">
        <f t="shared" si="14"/>
        <v>5712699222.0471115</v>
      </c>
      <c r="AB5" s="138">
        <f t="shared" si="14"/>
        <v>20900600112.771412</v>
      </c>
      <c r="AC5" s="18">
        <f t="shared" si="1"/>
        <v>45.878998688505604</v>
      </c>
      <c r="AD5" s="120">
        <f t="shared" si="2"/>
        <v>265864300016.50946</v>
      </c>
      <c r="AE5" s="121">
        <f t="shared" si="3"/>
        <v>100000835586.30482</v>
      </c>
      <c r="AF5" s="122">
        <f t="shared" si="4"/>
        <v>365865135602.81427</v>
      </c>
      <c r="AG5" s="123">
        <f t="shared" si="5"/>
        <v>6.3233352045709373E-2</v>
      </c>
      <c r="AH5" s="124">
        <f t="shared" si="6"/>
        <v>2.3784269046657446E-2</v>
      </c>
      <c r="AI5" s="125">
        <f t="shared" si="7"/>
        <v>8.7017621092366826E-2</v>
      </c>
      <c r="AJ5" s="139">
        <v>7910365.0472522397</v>
      </c>
      <c r="AK5" s="140">
        <v>2975364.1781495372</v>
      </c>
      <c r="AL5" s="140">
        <f t="shared" si="8"/>
        <v>10885729.225401778</v>
      </c>
      <c r="AM5" s="128">
        <f>AJ5/AL5</f>
        <v>0.72667295717713198</v>
      </c>
      <c r="AN5" s="129">
        <f t="shared" si="9"/>
        <v>0.72667295717713198</v>
      </c>
      <c r="AO5" s="130">
        <f t="shared" si="10"/>
        <v>0.27332704282286796</v>
      </c>
      <c r="AP5" s="19" t="s">
        <v>70</v>
      </c>
      <c r="AQ5" s="20" t="s">
        <v>314</v>
      </c>
      <c r="AR5" s="20" t="s">
        <v>315</v>
      </c>
      <c r="AS5" s="20" t="s">
        <v>316</v>
      </c>
      <c r="AT5" s="21" t="s">
        <v>247</v>
      </c>
      <c r="AU5" s="22" t="s">
        <v>248</v>
      </c>
      <c r="AV5" s="15"/>
      <c r="AW5" s="15"/>
      <c r="AX5" s="15"/>
      <c r="AY5" s="136">
        <v>54343.226508495798</v>
      </c>
      <c r="AZ5" s="125">
        <v>7.9324230231914941E-2</v>
      </c>
      <c r="BA5" s="15"/>
      <c r="BB5" s="136">
        <v>54343.226508495798</v>
      </c>
      <c r="BC5" s="131">
        <v>0.32117904644918832</v>
      </c>
      <c r="BD5" s="15"/>
      <c r="BE5" s="136">
        <v>54343.226508495798</v>
      </c>
      <c r="BF5" s="18">
        <v>59.677484133199314</v>
      </c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</row>
    <row r="6" spans="1:71" ht="15.75" customHeight="1" x14ac:dyDescent="0.35">
      <c r="A6" s="7">
        <v>5</v>
      </c>
      <c r="B6" s="23" t="s">
        <v>118</v>
      </c>
      <c r="C6" s="132"/>
      <c r="D6" s="132">
        <v>4.1170229526305704</v>
      </c>
      <c r="E6" s="132">
        <v>1.98875166364611</v>
      </c>
      <c r="F6" s="133">
        <v>6.2452942416150297</v>
      </c>
      <c r="G6" s="23">
        <v>2.6841824566442698</v>
      </c>
      <c r="H6" s="132">
        <v>2.00823706488015</v>
      </c>
      <c r="I6" s="134">
        <v>4.1170229526305704</v>
      </c>
      <c r="J6" s="135">
        <v>7664993</v>
      </c>
      <c r="K6" s="134">
        <v>2023</v>
      </c>
      <c r="L6" s="136">
        <v>15843155731.255199</v>
      </c>
      <c r="M6" s="132">
        <v>2023</v>
      </c>
      <c r="N6" s="136">
        <v>2066.9497977695701</v>
      </c>
      <c r="O6" s="133">
        <v>2023</v>
      </c>
      <c r="P6" s="136">
        <v>16195396090.5168</v>
      </c>
      <c r="Q6" s="132">
        <v>2023</v>
      </c>
      <c r="R6" s="132">
        <v>2110</v>
      </c>
      <c r="S6" s="134">
        <v>2023</v>
      </c>
      <c r="T6" s="17">
        <v>38.799999999999997</v>
      </c>
      <c r="U6" s="133">
        <v>2018</v>
      </c>
      <c r="V6" s="23">
        <v>31.230134173264599</v>
      </c>
      <c r="W6" s="134">
        <v>2023</v>
      </c>
      <c r="X6" s="137">
        <v>1.127</v>
      </c>
      <c r="Y6" s="133">
        <v>2022</v>
      </c>
      <c r="Z6" s="135">
        <f t="shared" ref="Z6:AB6" si="15">(AJ6*40)* 48</f>
        <v>395025403.02530169</v>
      </c>
      <c r="AA6" s="135">
        <f t="shared" si="15"/>
        <v>295547962.45722049</v>
      </c>
      <c r="AB6" s="138">
        <f t="shared" si="15"/>
        <v>690573365.48252213</v>
      </c>
      <c r="AC6" s="18">
        <f t="shared" si="1"/>
        <v>38.558151645698892</v>
      </c>
      <c r="AD6" s="120">
        <f t="shared" si="2"/>
        <v>445193629.20951504</v>
      </c>
      <c r="AE6" s="121">
        <f t="shared" si="3"/>
        <v>333082553.68928748</v>
      </c>
      <c r="AF6" s="122">
        <f t="shared" si="4"/>
        <v>778276182.89880252</v>
      </c>
      <c r="AG6" s="123">
        <f t="shared" si="5"/>
        <v>2.8100060162335086E-2</v>
      </c>
      <c r="AH6" s="124">
        <f t="shared" si="6"/>
        <v>2.102375052920713E-2</v>
      </c>
      <c r="AI6" s="125">
        <f t="shared" si="7"/>
        <v>4.9123810691542216E-2</v>
      </c>
      <c r="AJ6" s="139">
        <v>205742.39740901129</v>
      </c>
      <c r="AK6" s="140">
        <v>153931.23044646901</v>
      </c>
      <c r="AL6" s="140">
        <f t="shared" si="8"/>
        <v>359673.6278554803</v>
      </c>
      <c r="AM6" s="131">
        <f t="shared" ref="AM6:AM9" si="16">AE6/(AD6+AE6)</f>
        <v>0.42797474856377232</v>
      </c>
      <c r="AN6" s="129">
        <f t="shared" si="9"/>
        <v>0.57202525143622762</v>
      </c>
      <c r="AO6" s="130">
        <f t="shared" si="10"/>
        <v>0.42797474856377238</v>
      </c>
      <c r="AP6" s="19" t="s">
        <v>70</v>
      </c>
      <c r="AQ6" s="20" t="s">
        <v>119</v>
      </c>
      <c r="AR6" s="20">
        <v>102.17700000000001</v>
      </c>
      <c r="AS6" s="20">
        <v>18.582599999999999</v>
      </c>
      <c r="AT6" s="21" t="s">
        <v>59</v>
      </c>
      <c r="AU6" s="22" t="s">
        <v>13</v>
      </c>
      <c r="AV6" s="15"/>
      <c r="AW6" s="15"/>
      <c r="AX6" s="15"/>
      <c r="AY6" s="35"/>
      <c r="AZ6" s="125"/>
      <c r="BA6" s="15"/>
      <c r="BB6" s="136"/>
      <c r="BC6" s="131"/>
      <c r="BD6" s="15"/>
      <c r="BE6" s="136"/>
      <c r="BF6" s="18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</row>
    <row r="7" spans="1:71" ht="15.75" customHeight="1" x14ac:dyDescent="0.35">
      <c r="A7" s="7">
        <v>6</v>
      </c>
      <c r="B7" s="23" t="s">
        <v>201</v>
      </c>
      <c r="C7" s="132"/>
      <c r="D7" s="132">
        <v>2.8747503075072101</v>
      </c>
      <c r="E7" s="132">
        <v>1.97337581776612</v>
      </c>
      <c r="F7" s="133">
        <v>3.7761247972483001</v>
      </c>
      <c r="G7" s="23">
        <v>1.84456364052535</v>
      </c>
      <c r="H7" s="132">
        <v>1.0547938416506299</v>
      </c>
      <c r="I7" s="134">
        <v>2.8747503075072101</v>
      </c>
      <c r="J7" s="135">
        <v>35126298</v>
      </c>
      <c r="K7" s="134">
        <v>2023</v>
      </c>
      <c r="L7" s="136">
        <v>399705169318.47699</v>
      </c>
      <c r="M7" s="132">
        <v>2023</v>
      </c>
      <c r="N7" s="136">
        <v>11379.086100063199</v>
      </c>
      <c r="O7" s="133">
        <v>2023</v>
      </c>
      <c r="P7" s="136">
        <v>411380207262.65198</v>
      </c>
      <c r="Q7" s="132">
        <v>2023</v>
      </c>
      <c r="R7" s="132">
        <v>11710</v>
      </c>
      <c r="S7" s="134">
        <v>2023</v>
      </c>
      <c r="T7" s="17">
        <v>40.700000000000003</v>
      </c>
      <c r="U7" s="133">
        <v>2021</v>
      </c>
      <c r="V7" s="23">
        <v>2.4888656012575399</v>
      </c>
      <c r="W7" s="134">
        <v>2023</v>
      </c>
      <c r="X7" s="143">
        <v>3.8</v>
      </c>
      <c r="Y7" s="144">
        <v>2020</v>
      </c>
      <c r="Z7" s="135">
        <f t="shared" ref="Z7:AB7" si="17">(AJ7*40)* 48</f>
        <v>1244019688.6475196</v>
      </c>
      <c r="AA7" s="135">
        <f t="shared" si="17"/>
        <v>711379253.95938897</v>
      </c>
      <c r="AB7" s="138">
        <f t="shared" si="17"/>
        <v>1955398942.6069086</v>
      </c>
      <c r="AC7" s="18">
        <f t="shared" si="1"/>
        <v>20.252041759692098</v>
      </c>
      <c r="AD7" s="120">
        <f t="shared" si="2"/>
        <v>4727274816.8605738</v>
      </c>
      <c r="AE7" s="121">
        <f t="shared" si="3"/>
        <v>2703241165.0456781</v>
      </c>
      <c r="AF7" s="122">
        <f t="shared" si="4"/>
        <v>7430515981.9062519</v>
      </c>
      <c r="AG7" s="123">
        <f t="shared" si="5"/>
        <v>1.1826904377846505E-2</v>
      </c>
      <c r="AH7" s="124">
        <f t="shared" si="6"/>
        <v>6.7630878270973534E-3</v>
      </c>
      <c r="AI7" s="125">
        <f t="shared" si="7"/>
        <v>1.858999220494386E-2</v>
      </c>
      <c r="AJ7" s="139">
        <v>647926.92117058311</v>
      </c>
      <c r="AK7" s="140">
        <v>370510.0281038484</v>
      </c>
      <c r="AL7" s="140">
        <f t="shared" si="8"/>
        <v>1018436.9492744314</v>
      </c>
      <c r="AM7" s="131">
        <f t="shared" si="16"/>
        <v>0.36380261769549127</v>
      </c>
      <c r="AN7" s="129">
        <f t="shared" si="9"/>
        <v>0.63619738230450884</v>
      </c>
      <c r="AO7" s="130">
        <f t="shared" si="10"/>
        <v>0.36380261769549127</v>
      </c>
      <c r="AP7" s="19" t="s">
        <v>70</v>
      </c>
      <c r="AQ7" s="20" t="s">
        <v>202</v>
      </c>
      <c r="AR7" s="20">
        <v>101.684</v>
      </c>
      <c r="AS7" s="20">
        <v>3.1243300000000001</v>
      </c>
      <c r="AT7" s="21" t="s">
        <v>152</v>
      </c>
      <c r="AU7" s="22" t="s">
        <v>60</v>
      </c>
      <c r="AV7" s="15"/>
      <c r="AW7" s="15"/>
      <c r="AX7" s="15"/>
      <c r="AY7" s="136">
        <v>128678.18994282599</v>
      </c>
      <c r="AZ7" s="125">
        <v>7.0315211845833892E-2</v>
      </c>
      <c r="BB7" s="136">
        <v>128678.18994282599</v>
      </c>
      <c r="BC7" s="131">
        <v>0.38420171916551332</v>
      </c>
      <c r="BE7" s="136">
        <v>128678.18994282599</v>
      </c>
      <c r="BF7" s="18">
        <v>117.83967082171201</v>
      </c>
    </row>
    <row r="8" spans="1:71" ht="15.75" customHeight="1" x14ac:dyDescent="0.35">
      <c r="A8" s="7">
        <v>7</v>
      </c>
      <c r="B8" s="23" t="s">
        <v>74</v>
      </c>
      <c r="C8" s="132"/>
      <c r="D8" s="132">
        <v>3.6726250176198798</v>
      </c>
      <c r="E8" s="132">
        <v>2.7246761444346399</v>
      </c>
      <c r="F8" s="133">
        <v>4.6205738908051197</v>
      </c>
      <c r="G8" s="23">
        <v>2.4290854651273301</v>
      </c>
      <c r="H8" s="132">
        <v>1.5332166743275299</v>
      </c>
      <c r="I8" s="134">
        <v>3.6726250176198798</v>
      </c>
      <c r="J8" s="135">
        <v>3481145</v>
      </c>
      <c r="K8" s="134">
        <v>2023</v>
      </c>
      <c r="L8" s="136">
        <v>20325121393.907398</v>
      </c>
      <c r="M8" s="132">
        <v>2023</v>
      </c>
      <c r="N8" s="136">
        <v>5838.6310808390199</v>
      </c>
      <c r="O8" s="133">
        <v>2023</v>
      </c>
      <c r="P8" s="136">
        <v>16956242137.3992</v>
      </c>
      <c r="Q8" s="132">
        <v>2023</v>
      </c>
      <c r="R8" s="132">
        <v>4870</v>
      </c>
      <c r="S8" s="134">
        <v>2023</v>
      </c>
      <c r="T8" s="17">
        <v>31.4</v>
      </c>
      <c r="U8" s="133">
        <v>2022</v>
      </c>
      <c r="V8" s="23">
        <v>10.3475831314339</v>
      </c>
      <c r="W8" s="134">
        <v>2023</v>
      </c>
      <c r="X8" s="137">
        <v>1.8979999999999999</v>
      </c>
      <c r="Y8" s="133">
        <v>2023</v>
      </c>
      <c r="Z8" s="135">
        <f t="shared" ref="Z8:AB8" si="18">(AJ8*40)* 48</f>
        <v>162355175.45281303</v>
      </c>
      <c r="AA8" s="135">
        <f t="shared" si="18"/>
        <v>102477111.54723667</v>
      </c>
      <c r="AB8" s="138">
        <f t="shared" si="18"/>
        <v>264832287.00004971</v>
      </c>
      <c r="AC8" s="18">
        <f t="shared" si="1"/>
        <v>29.437760147088579</v>
      </c>
      <c r="AD8" s="120">
        <f t="shared" si="2"/>
        <v>308150123.00943911</v>
      </c>
      <c r="AE8" s="121">
        <f t="shared" si="3"/>
        <v>194501557.71665519</v>
      </c>
      <c r="AF8" s="122">
        <f t="shared" si="4"/>
        <v>502651680.72609431</v>
      </c>
      <c r="AG8" s="123">
        <f t="shared" si="5"/>
        <v>1.5161047111965064E-2</v>
      </c>
      <c r="AH8" s="124">
        <f t="shared" si="6"/>
        <v>9.5695151801139279E-3</v>
      </c>
      <c r="AI8" s="125">
        <f t="shared" si="7"/>
        <v>2.4730562292078991E-2</v>
      </c>
      <c r="AJ8" s="139">
        <v>84559.987215006797</v>
      </c>
      <c r="AK8" s="140">
        <v>53373.495597519097</v>
      </c>
      <c r="AL8" s="140">
        <f t="shared" si="8"/>
        <v>137933.48281252588</v>
      </c>
      <c r="AM8" s="131">
        <f t="shared" si="16"/>
        <v>0.38695097455098987</v>
      </c>
      <c r="AN8" s="129">
        <f t="shared" si="9"/>
        <v>0.6130490254490103</v>
      </c>
      <c r="AO8" s="130">
        <f t="shared" si="10"/>
        <v>0.38695097455098987</v>
      </c>
      <c r="AP8" s="19" t="s">
        <v>70</v>
      </c>
      <c r="AQ8" s="20" t="s">
        <v>75</v>
      </c>
      <c r="AR8" s="20">
        <v>106.937</v>
      </c>
      <c r="AS8" s="20">
        <v>47.9129</v>
      </c>
      <c r="AT8" s="21" t="s">
        <v>59</v>
      </c>
      <c r="AU8" s="22" t="s">
        <v>60</v>
      </c>
      <c r="AV8" s="15"/>
      <c r="AW8" s="15"/>
      <c r="AX8" s="15"/>
      <c r="AY8" s="136">
        <v>1706.4421802476199</v>
      </c>
      <c r="AZ8" s="125">
        <v>2.5951365836256082E-2</v>
      </c>
      <c r="BA8" s="15"/>
      <c r="BB8" s="136">
        <v>1706.4421802476199</v>
      </c>
      <c r="BC8" s="131">
        <v>0.26662695513178725</v>
      </c>
      <c r="BD8" s="15"/>
      <c r="BE8" s="136">
        <v>1706.4421802476199</v>
      </c>
      <c r="BF8" s="18">
        <v>14.452194378371788</v>
      </c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</row>
    <row r="9" spans="1:71" ht="15.75" customHeight="1" x14ac:dyDescent="0.35">
      <c r="A9" s="7">
        <v>8</v>
      </c>
      <c r="B9" s="23" t="s">
        <v>69</v>
      </c>
      <c r="C9" s="132"/>
      <c r="D9" s="132">
        <v>2.5565644616108898</v>
      </c>
      <c r="E9" s="132">
        <v>1.76399634889066</v>
      </c>
      <c r="F9" s="133">
        <v>3.3491325743311302</v>
      </c>
      <c r="G9" s="23">
        <v>1.58161691122649</v>
      </c>
      <c r="H9" s="132">
        <v>0.98312505229790903</v>
      </c>
      <c r="I9" s="134">
        <v>2.5565644616108898</v>
      </c>
      <c r="J9" s="135">
        <v>54133798</v>
      </c>
      <c r="K9" s="134">
        <v>2023</v>
      </c>
      <c r="L9" s="136">
        <v>66757619000</v>
      </c>
      <c r="M9" s="132">
        <v>2023</v>
      </c>
      <c r="N9" s="136">
        <v>1233.1966620926901</v>
      </c>
      <c r="O9" s="133">
        <v>2023</v>
      </c>
      <c r="P9" s="136">
        <v>66551891335.726402</v>
      </c>
      <c r="Q9" s="132">
        <v>2023</v>
      </c>
      <c r="R9" s="132">
        <v>1230</v>
      </c>
      <c r="S9" s="134">
        <v>2023</v>
      </c>
      <c r="T9" s="17">
        <v>30.7</v>
      </c>
      <c r="U9" s="133">
        <v>2017</v>
      </c>
      <c r="V9" s="23">
        <v>8.8250669680455793</v>
      </c>
      <c r="W9" s="134">
        <v>2019</v>
      </c>
      <c r="X9" s="137">
        <v>1.2050000000000001</v>
      </c>
      <c r="Y9" s="133">
        <v>2020</v>
      </c>
      <c r="Z9" s="135">
        <f t="shared" ref="Z9:AB9" si="19">(AJ9*40)* 48</f>
        <v>1643883463.4057999</v>
      </c>
      <c r="AA9" s="135">
        <f t="shared" si="19"/>
        <v>1021829625.4048214</v>
      </c>
      <c r="AB9" s="138">
        <f t="shared" si="19"/>
        <v>2665713088.8106208</v>
      </c>
      <c r="AC9" s="18">
        <f t="shared" si="1"/>
        <v>18.876001004119853</v>
      </c>
      <c r="AD9" s="120">
        <f t="shared" si="2"/>
        <v>1980879573.4039888</v>
      </c>
      <c r="AE9" s="121">
        <f t="shared" si="3"/>
        <v>1231304698.6128099</v>
      </c>
      <c r="AF9" s="122">
        <f t="shared" si="4"/>
        <v>3212184272.016799</v>
      </c>
      <c r="AG9" s="123">
        <f t="shared" si="5"/>
        <v>2.9672711565761338E-2</v>
      </c>
      <c r="AH9" s="124">
        <f t="shared" si="6"/>
        <v>1.844440705131814E-2</v>
      </c>
      <c r="AI9" s="125">
        <f t="shared" si="7"/>
        <v>4.8117118617079478E-2</v>
      </c>
      <c r="AJ9" s="139">
        <v>856189.30385718739</v>
      </c>
      <c r="AK9" s="140">
        <v>532202.92989834445</v>
      </c>
      <c r="AL9" s="140">
        <f t="shared" si="8"/>
        <v>1388392.2337555317</v>
      </c>
      <c r="AM9" s="131">
        <f t="shared" si="16"/>
        <v>0.38332318271383731</v>
      </c>
      <c r="AN9" s="129">
        <f t="shared" si="9"/>
        <v>0.61667681728616275</v>
      </c>
      <c r="AO9" s="130">
        <f t="shared" si="10"/>
        <v>0.38332318271383736</v>
      </c>
      <c r="AP9" s="19" t="s">
        <v>70</v>
      </c>
      <c r="AQ9" s="20" t="s">
        <v>71</v>
      </c>
      <c r="AR9" s="20">
        <v>95.956199999999995</v>
      </c>
      <c r="AS9" s="20">
        <v>21.914000000000001</v>
      </c>
      <c r="AT9" s="21" t="s">
        <v>59</v>
      </c>
      <c r="AU9" s="22" t="s">
        <v>13</v>
      </c>
      <c r="AV9" s="15"/>
      <c r="AW9" s="15"/>
      <c r="AX9" s="15"/>
      <c r="AY9" s="136">
        <v>1952.3045792963601</v>
      </c>
      <c r="AZ9" s="125">
        <v>2.2889146733797099E-2</v>
      </c>
      <c r="BA9" s="15"/>
      <c r="BB9" s="136">
        <v>1952.3045792963601</v>
      </c>
      <c r="BC9" s="131">
        <v>0.42999219980364595</v>
      </c>
      <c r="BD9" s="15"/>
      <c r="BE9" s="136">
        <v>1952.3045792963601</v>
      </c>
      <c r="BF9" s="18">
        <v>19.587037114397187</v>
      </c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</row>
    <row r="10" spans="1:71" ht="15.75" customHeight="1" x14ac:dyDescent="0.35">
      <c r="A10" s="7">
        <v>9</v>
      </c>
      <c r="B10" s="16" t="s">
        <v>364</v>
      </c>
      <c r="C10" s="132">
        <v>10.1086681829669</v>
      </c>
      <c r="D10" s="132">
        <v>10.155646420256399</v>
      </c>
      <c r="E10" s="132">
        <v>9.4119987931211195</v>
      </c>
      <c r="F10" s="133">
        <v>10.899294047391701</v>
      </c>
      <c r="G10" s="23">
        <v>4.5438241232301397</v>
      </c>
      <c r="H10" s="132">
        <v>5.5293868581858101</v>
      </c>
      <c r="I10" s="134">
        <v>10.1086681829669</v>
      </c>
      <c r="J10" s="135">
        <v>5223100</v>
      </c>
      <c r="K10" s="134">
        <v>2023</v>
      </c>
      <c r="L10" s="136">
        <v>252175506110.168</v>
      </c>
      <c r="M10" s="132">
        <v>2023</v>
      </c>
      <c r="N10" s="136">
        <v>48280.811416623801</v>
      </c>
      <c r="O10" s="133">
        <v>2023</v>
      </c>
      <c r="P10" s="136">
        <v>251852327419.57999</v>
      </c>
      <c r="Q10" s="132">
        <v>2023</v>
      </c>
      <c r="R10" s="132">
        <v>48220</v>
      </c>
      <c r="S10" s="134">
        <v>2023</v>
      </c>
      <c r="T10" s="17"/>
      <c r="U10" s="133"/>
      <c r="V10" s="23">
        <v>5.7331628303495696</v>
      </c>
      <c r="W10" s="134">
        <v>2023</v>
      </c>
      <c r="X10" s="141">
        <v>23.7369375</v>
      </c>
      <c r="Y10" s="142">
        <v>2022</v>
      </c>
      <c r="Z10" s="135">
        <f t="shared" ref="Z10:AB10" si="20">(AJ10*40)* 48</f>
        <v>455670677.33843219</v>
      </c>
      <c r="AA10" s="135">
        <f t="shared" si="20"/>
        <v>554506377.58061361</v>
      </c>
      <c r="AB10" s="138">
        <f t="shared" si="20"/>
        <v>1010177054.9190457</v>
      </c>
      <c r="AC10" s="18">
        <f t="shared" si="1"/>
        <v>106.1642276771675</v>
      </c>
      <c r="AD10" s="120">
        <f t="shared" si="2"/>
        <v>10816226388.565031</v>
      </c>
      <c r="AE10" s="121">
        <f t="shared" si="3"/>
        <v>13162283227.982426</v>
      </c>
      <c r="AF10" s="122">
        <f t="shared" si="4"/>
        <v>23978509616.547455</v>
      </c>
      <c r="AG10" s="123">
        <f t="shared" si="5"/>
        <v>4.2891661269591118E-2</v>
      </c>
      <c r="AH10" s="124">
        <f t="shared" si="6"/>
        <v>5.2194931343697647E-2</v>
      </c>
      <c r="AI10" s="125">
        <f t="shared" si="7"/>
        <v>9.5086592613288765E-2</v>
      </c>
      <c r="AJ10" s="139">
        <v>237328.4777804334</v>
      </c>
      <c r="AK10" s="140">
        <v>288805.40498990298</v>
      </c>
      <c r="AL10" s="140">
        <f t="shared" si="8"/>
        <v>526133.88277033635</v>
      </c>
      <c r="AM10" s="128">
        <f>AJ10/AL10</f>
        <v>0.45108001129064346</v>
      </c>
      <c r="AN10" s="129">
        <f t="shared" si="9"/>
        <v>0.45108001129064346</v>
      </c>
      <c r="AO10" s="130">
        <f t="shared" si="10"/>
        <v>0.54891998870935665</v>
      </c>
      <c r="AP10" s="19" t="s">
        <v>70</v>
      </c>
      <c r="AQ10" s="20" t="s">
        <v>365</v>
      </c>
      <c r="AR10" s="20">
        <v>174.77600000000001</v>
      </c>
      <c r="AS10" s="20">
        <v>-41.286499999999997</v>
      </c>
      <c r="AT10" s="21" t="s">
        <v>247</v>
      </c>
      <c r="AU10" s="22" t="s">
        <v>248</v>
      </c>
      <c r="AV10" s="15"/>
      <c r="AW10" s="15"/>
      <c r="AX10" s="15"/>
      <c r="AY10" s="136">
        <v>68453.876928114507</v>
      </c>
      <c r="AZ10" s="125">
        <v>0.11448272542113289</v>
      </c>
      <c r="BA10" s="15"/>
      <c r="BB10" s="136">
        <v>68453.876928114507</v>
      </c>
      <c r="BC10" s="131">
        <v>0.37390270092605998</v>
      </c>
      <c r="BD10" s="15"/>
      <c r="BE10" s="136">
        <v>68453.876928114507</v>
      </c>
      <c r="BF10" s="18">
        <v>79.841841966882811</v>
      </c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</row>
    <row r="11" spans="1:71" ht="15.75" customHeight="1" x14ac:dyDescent="0.35">
      <c r="A11" s="7">
        <v>10</v>
      </c>
      <c r="B11" s="23" t="s">
        <v>125</v>
      </c>
      <c r="C11" s="132">
        <v>1.9565665118194899</v>
      </c>
      <c r="D11" s="132">
        <v>2.3859550960447602</v>
      </c>
      <c r="E11" s="132">
        <v>1.51544114910303</v>
      </c>
      <c r="F11" s="133">
        <v>3.25646904298649</v>
      </c>
      <c r="G11" s="23">
        <v>1.0609281212772299</v>
      </c>
      <c r="H11" s="132">
        <v>1.2973201452037</v>
      </c>
      <c r="I11" s="134">
        <v>1.9565665118194899</v>
      </c>
      <c r="J11" s="135">
        <v>114891199</v>
      </c>
      <c r="K11" s="134">
        <v>2023</v>
      </c>
      <c r="L11" s="136">
        <v>437146372729.94202</v>
      </c>
      <c r="M11" s="132">
        <v>2023</v>
      </c>
      <c r="N11" s="136">
        <v>3804.8725797521001</v>
      </c>
      <c r="O11" s="133">
        <v>2023</v>
      </c>
      <c r="P11" s="136">
        <v>496166217235.82098</v>
      </c>
      <c r="Q11" s="132">
        <v>2023</v>
      </c>
      <c r="R11" s="132">
        <v>4320</v>
      </c>
      <c r="S11" s="134">
        <v>2023</v>
      </c>
      <c r="T11" s="17">
        <v>40.700000000000003</v>
      </c>
      <c r="U11" s="133">
        <v>2021</v>
      </c>
      <c r="V11" s="23">
        <v>5.9780251554140902</v>
      </c>
      <c r="W11" s="134">
        <v>2023</v>
      </c>
      <c r="X11" s="137">
        <v>1.879</v>
      </c>
      <c r="Y11" s="133">
        <v>2022</v>
      </c>
      <c r="Z11" s="135">
        <f t="shared" ref="Z11:AB11" si="21">(AJ11*40)* 48</f>
        <v>2340313035.0020814</v>
      </c>
      <c r="AA11" s="135">
        <f t="shared" si="21"/>
        <v>2861772805.8106985</v>
      </c>
      <c r="AB11" s="138">
        <f t="shared" si="21"/>
        <v>5202085840.8127804</v>
      </c>
      <c r="AC11" s="18">
        <f t="shared" si="1"/>
        <v>24.908546787911042</v>
      </c>
      <c r="AD11" s="120">
        <f t="shared" si="2"/>
        <v>4397448192.7689114</v>
      </c>
      <c r="AE11" s="121">
        <f t="shared" si="3"/>
        <v>5377271102.1183023</v>
      </c>
      <c r="AF11" s="122">
        <f t="shared" si="4"/>
        <v>9774719294.8872147</v>
      </c>
      <c r="AG11" s="123">
        <f t="shared" si="5"/>
        <v>1.005944110963845E-2</v>
      </c>
      <c r="AH11" s="124">
        <f t="shared" si="6"/>
        <v>1.2300848039840067E-2</v>
      </c>
      <c r="AI11" s="125">
        <f t="shared" si="7"/>
        <v>2.2360289149478518E-2</v>
      </c>
      <c r="AJ11" s="139">
        <v>1218913.0390635841</v>
      </c>
      <c r="AK11" s="140">
        <v>1490506.6696930721</v>
      </c>
      <c r="AL11" s="140">
        <f t="shared" si="8"/>
        <v>2709419.7087566564</v>
      </c>
      <c r="AM11" s="131">
        <f t="shared" ref="AM11:AM27" si="22">AE11/(AD11+AE11)</f>
        <v>0.55012025817774113</v>
      </c>
      <c r="AN11" s="129">
        <f t="shared" si="9"/>
        <v>0.44987974182225876</v>
      </c>
      <c r="AO11" s="130">
        <f t="shared" si="10"/>
        <v>0.55012025817774113</v>
      </c>
      <c r="AP11" s="19" t="s">
        <v>70</v>
      </c>
      <c r="AQ11" s="20" t="s">
        <v>126</v>
      </c>
      <c r="AR11" s="20">
        <v>121.035</v>
      </c>
      <c r="AS11" s="20">
        <v>14.551500000000001</v>
      </c>
      <c r="AT11" s="21" t="s">
        <v>59</v>
      </c>
      <c r="AU11" s="22" t="s">
        <v>60</v>
      </c>
      <c r="AV11" s="15"/>
      <c r="AW11" s="15"/>
      <c r="AX11" s="15"/>
      <c r="AY11" s="136">
        <v>4282.0885172450598</v>
      </c>
      <c r="AZ11" s="125">
        <v>2.4931803143489223E-2</v>
      </c>
      <c r="BA11" s="15"/>
      <c r="BB11" s="136">
        <v>4282.0885172450598</v>
      </c>
      <c r="BC11" s="131">
        <v>0.38414165341968926</v>
      </c>
      <c r="BD11" s="15"/>
      <c r="BE11" s="136">
        <v>4282.0885172450598</v>
      </c>
      <c r="BF11" s="18">
        <v>23.328233856889156</v>
      </c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</row>
    <row r="12" spans="1:71" ht="15.75" customHeight="1" x14ac:dyDescent="0.35">
      <c r="A12" s="7">
        <v>11</v>
      </c>
      <c r="B12" s="23" t="s">
        <v>317</v>
      </c>
      <c r="C12" s="132">
        <v>4.3506634761801202</v>
      </c>
      <c r="D12" s="132">
        <v>5.2504916248357496</v>
      </c>
      <c r="E12" s="132">
        <v>3.7485412466543599</v>
      </c>
      <c r="F12" s="133">
        <v>6.7524420030171397</v>
      </c>
      <c r="G12" s="23">
        <v>3.7195574178187498</v>
      </c>
      <c r="H12" s="132">
        <v>1.7600981300893801</v>
      </c>
      <c r="I12" s="134">
        <v>4.3506634761801202</v>
      </c>
      <c r="J12" s="135">
        <v>51712619</v>
      </c>
      <c r="K12" s="134">
        <v>2023</v>
      </c>
      <c r="L12" s="136">
        <v>1712792854202.3701</v>
      </c>
      <c r="M12" s="132">
        <v>2023</v>
      </c>
      <c r="N12" s="136">
        <v>33121.371288550799</v>
      </c>
      <c r="O12" s="133">
        <v>2023</v>
      </c>
      <c r="P12" s="136">
        <v>1835475723745.7</v>
      </c>
      <c r="Q12" s="132">
        <v>2023</v>
      </c>
      <c r="R12" s="132">
        <v>35490</v>
      </c>
      <c r="S12" s="134">
        <v>2023</v>
      </c>
      <c r="T12" s="17">
        <v>32.9</v>
      </c>
      <c r="U12" s="133">
        <v>2021</v>
      </c>
      <c r="V12" s="23">
        <v>3.5974562502901</v>
      </c>
      <c r="W12" s="134">
        <v>2023</v>
      </c>
      <c r="X12" s="143">
        <v>19.3</v>
      </c>
      <c r="Y12" s="144">
        <v>2022</v>
      </c>
      <c r="Z12" s="135">
        <f t="shared" ref="Z12:AB12" si="23">(AJ12*40)* 48</f>
        <v>3693082667.448668</v>
      </c>
      <c r="AA12" s="135">
        <f t="shared" si="23"/>
        <v>1747570252.8753514</v>
      </c>
      <c r="AB12" s="138">
        <f t="shared" si="23"/>
        <v>5440652920.3240194</v>
      </c>
      <c r="AC12" s="18">
        <f t="shared" si="1"/>
        <v>33.793884097716102</v>
      </c>
      <c r="AD12" s="120">
        <f t="shared" si="2"/>
        <v>71276495481.759293</v>
      </c>
      <c r="AE12" s="121">
        <f t="shared" si="3"/>
        <v>33728105880.494286</v>
      </c>
      <c r="AF12" s="122">
        <f t="shared" si="4"/>
        <v>105004601362.25357</v>
      </c>
      <c r="AG12" s="123">
        <f t="shared" si="5"/>
        <v>4.1614194797042175E-2</v>
      </c>
      <c r="AH12" s="124">
        <f t="shared" si="6"/>
        <v>1.9691876806784737E-2</v>
      </c>
      <c r="AI12" s="125">
        <f t="shared" si="7"/>
        <v>6.1306071603826909E-2</v>
      </c>
      <c r="AJ12" s="139">
        <v>1923480.555962848</v>
      </c>
      <c r="AK12" s="140">
        <v>910192.84003924555</v>
      </c>
      <c r="AL12" s="140">
        <f t="shared" si="8"/>
        <v>2833673.3960020933</v>
      </c>
      <c r="AM12" s="131">
        <f t="shared" si="22"/>
        <v>0.32120597995640471</v>
      </c>
      <c r="AN12" s="129">
        <f t="shared" si="9"/>
        <v>0.67879402004359546</v>
      </c>
      <c r="AO12" s="130">
        <f t="shared" si="10"/>
        <v>0.32120597995640465</v>
      </c>
      <c r="AP12" s="19" t="s">
        <v>70</v>
      </c>
      <c r="AQ12" s="20" t="s">
        <v>318</v>
      </c>
      <c r="AR12" s="20" t="s">
        <v>319</v>
      </c>
      <c r="AS12" s="20" t="s">
        <v>320</v>
      </c>
      <c r="AT12" s="21" t="s">
        <v>247</v>
      </c>
      <c r="AU12" s="22" t="s">
        <v>248</v>
      </c>
      <c r="AV12" s="15"/>
      <c r="AW12" s="15"/>
      <c r="AX12" s="15"/>
      <c r="AY12" s="136">
        <v>99564.710026144996</v>
      </c>
      <c r="AZ12" s="125">
        <v>9.0223371702853411E-2</v>
      </c>
      <c r="BA12" s="15"/>
      <c r="BB12" s="136">
        <v>99564.710026144996</v>
      </c>
      <c r="BC12" s="131">
        <v>0.38004120850861312</v>
      </c>
      <c r="BD12" s="15"/>
      <c r="BE12" s="136">
        <v>99564.710026144996</v>
      </c>
      <c r="BF12" s="18">
        <v>68.548770923647879</v>
      </c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</row>
    <row r="13" spans="1:71" ht="15.75" customHeight="1" x14ac:dyDescent="0.35">
      <c r="A13" s="7">
        <v>12</v>
      </c>
      <c r="B13" s="23" t="s">
        <v>181</v>
      </c>
      <c r="C13" s="132"/>
      <c r="D13" s="132">
        <v>2.30234334863996</v>
      </c>
      <c r="E13" s="132">
        <v>1.49831901734757</v>
      </c>
      <c r="F13" s="133">
        <v>3.1063676799323501</v>
      </c>
      <c r="G13" s="23">
        <v>1.5977993757461</v>
      </c>
      <c r="H13" s="132">
        <v>0.71759565603590003</v>
      </c>
      <c r="I13" s="134">
        <v>2.30234334863996</v>
      </c>
      <c r="J13" s="135">
        <v>71702435</v>
      </c>
      <c r="K13" s="134">
        <v>2023</v>
      </c>
      <c r="L13" s="136">
        <v>514968699239.005</v>
      </c>
      <c r="M13" s="132">
        <v>2023</v>
      </c>
      <c r="N13" s="136">
        <v>7182.0252581241502</v>
      </c>
      <c r="O13" s="133">
        <v>2023</v>
      </c>
      <c r="P13" s="136">
        <v>515977360270.255</v>
      </c>
      <c r="Q13" s="132">
        <v>2023</v>
      </c>
      <c r="R13" s="132">
        <v>7200</v>
      </c>
      <c r="S13" s="134">
        <v>2023</v>
      </c>
      <c r="T13" s="17">
        <v>34.9</v>
      </c>
      <c r="U13" s="133">
        <v>2021</v>
      </c>
      <c r="V13" s="23">
        <v>1.22802623546169</v>
      </c>
      <c r="W13" s="134">
        <v>2023</v>
      </c>
      <c r="X13" s="137">
        <v>2.68</v>
      </c>
      <c r="Y13" s="133">
        <v>2023</v>
      </c>
      <c r="Z13" s="135">
        <f t="shared" ref="Z13:AB13" si="24">(AJ13*40)* 48</f>
        <v>2199669232.9435258</v>
      </c>
      <c r="AA13" s="135">
        <f t="shared" si="24"/>
        <v>987904432.95737243</v>
      </c>
      <c r="AB13" s="138">
        <f t="shared" si="24"/>
        <v>3187573665.900898</v>
      </c>
      <c r="AC13" s="18">
        <f t="shared" si="1"/>
        <v>13.777836595889282</v>
      </c>
      <c r="AD13" s="120">
        <f t="shared" si="2"/>
        <v>5895113544.2886496</v>
      </c>
      <c r="AE13" s="121">
        <f t="shared" si="3"/>
        <v>2647583880.3257585</v>
      </c>
      <c r="AF13" s="122">
        <f t="shared" si="4"/>
        <v>8542697424.6144085</v>
      </c>
      <c r="AG13" s="123">
        <f t="shared" si="5"/>
        <v>1.1447518175376783E-2</v>
      </c>
      <c r="AH13" s="124">
        <f t="shared" si="6"/>
        <v>5.1412520493735354E-3</v>
      </c>
      <c r="AI13" s="125">
        <f t="shared" si="7"/>
        <v>1.6588770224750318E-2</v>
      </c>
      <c r="AJ13" s="139">
        <v>1145661.0588247529</v>
      </c>
      <c r="AK13" s="140">
        <v>514533.55883196479</v>
      </c>
      <c r="AL13" s="140">
        <f t="shared" si="8"/>
        <v>1660194.6176567178</v>
      </c>
      <c r="AM13" s="131">
        <f t="shared" si="22"/>
        <v>0.30992363989120947</v>
      </c>
      <c r="AN13" s="129">
        <f t="shared" si="9"/>
        <v>0.69007636010879048</v>
      </c>
      <c r="AO13" s="130">
        <f t="shared" si="10"/>
        <v>0.30992363989120947</v>
      </c>
      <c r="AP13" s="19" t="s">
        <v>70</v>
      </c>
      <c r="AQ13" s="20" t="s">
        <v>182</v>
      </c>
      <c r="AR13" s="20">
        <v>100.521</v>
      </c>
      <c r="AS13" s="20">
        <v>13.7308</v>
      </c>
      <c r="AT13" s="21" t="s">
        <v>152</v>
      </c>
      <c r="AU13" s="22" t="s">
        <v>60</v>
      </c>
      <c r="AV13" s="15"/>
      <c r="AW13" s="15"/>
      <c r="AX13" s="15"/>
      <c r="AY13" s="136">
        <v>1365.27743222493</v>
      </c>
      <c r="AZ13" s="125">
        <v>1.4960998395151586E-2</v>
      </c>
      <c r="BA13" s="15"/>
      <c r="BB13" s="136">
        <v>1365.27743222493</v>
      </c>
      <c r="BC13" s="131">
        <v>0.42616177556152257</v>
      </c>
      <c r="BD13" s="15"/>
      <c r="BE13" s="136">
        <v>1365.27743222493</v>
      </c>
      <c r="BF13" s="18">
        <v>11.763166963360721</v>
      </c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</row>
    <row r="14" spans="1:71" ht="15.75" customHeight="1" x14ac:dyDescent="0.35">
      <c r="A14" s="7">
        <v>13</v>
      </c>
      <c r="B14" s="23" t="s">
        <v>109</v>
      </c>
      <c r="C14" s="132"/>
      <c r="D14" s="132">
        <v>3.1483039854712902</v>
      </c>
      <c r="E14" s="132">
        <v>2.04241903938928</v>
      </c>
      <c r="F14" s="133">
        <v>4.2541889315533004</v>
      </c>
      <c r="G14" s="23">
        <v>1.9479152693205599</v>
      </c>
      <c r="H14" s="132">
        <v>1.2150121800463101</v>
      </c>
      <c r="I14" s="134">
        <v>3.1483039854712902</v>
      </c>
      <c r="J14" s="135">
        <v>100352192</v>
      </c>
      <c r="K14" s="134">
        <v>2023</v>
      </c>
      <c r="L14" s="136">
        <v>429716969043.57202</v>
      </c>
      <c r="M14" s="132">
        <v>2023</v>
      </c>
      <c r="N14" s="136">
        <v>4282.0885172450598</v>
      </c>
      <c r="O14" s="133">
        <v>2023</v>
      </c>
      <c r="P14" s="136">
        <v>412944119222.26599</v>
      </c>
      <c r="Q14" s="132">
        <v>2023</v>
      </c>
      <c r="R14" s="132">
        <v>4110</v>
      </c>
      <c r="S14" s="134">
        <v>2023</v>
      </c>
      <c r="T14" s="17">
        <v>36.1</v>
      </c>
      <c r="U14" s="133">
        <v>2022</v>
      </c>
      <c r="V14" s="23">
        <v>3.2528928266766202</v>
      </c>
      <c r="W14" s="134">
        <v>2023</v>
      </c>
      <c r="X14" s="137">
        <v>1.758</v>
      </c>
      <c r="Y14" s="133">
        <v>2023</v>
      </c>
      <c r="Z14" s="135">
        <f t="shared" ref="Z14:AB14" si="25">(AJ14*40)* 48</f>
        <v>3753169288.4465008</v>
      </c>
      <c r="AA14" s="135">
        <f t="shared" si="25"/>
        <v>2341039403.027441</v>
      </c>
      <c r="AB14" s="138">
        <f t="shared" si="25"/>
        <v>6094208691.4739428</v>
      </c>
      <c r="AC14" s="18">
        <f t="shared" si="1"/>
        <v>23.328233856889156</v>
      </c>
      <c r="AD14" s="120">
        <f t="shared" si="2"/>
        <v>6598071609.0889482</v>
      </c>
      <c r="AE14" s="121">
        <f t="shared" si="3"/>
        <v>4115547270.5222411</v>
      </c>
      <c r="AF14" s="122">
        <f t="shared" si="4"/>
        <v>10713618879.611189</v>
      </c>
      <c r="AG14" s="123">
        <f t="shared" si="5"/>
        <v>1.5354459061215065E-2</v>
      </c>
      <c r="AH14" s="124">
        <f t="shared" si="6"/>
        <v>9.577344082274156E-3</v>
      </c>
      <c r="AI14" s="125">
        <f t="shared" si="7"/>
        <v>2.4931803143489223E-2</v>
      </c>
      <c r="AJ14" s="139">
        <v>1954775.671065886</v>
      </c>
      <c r="AK14" s="140">
        <v>1219291.355743459</v>
      </c>
      <c r="AL14" s="140">
        <f t="shared" si="8"/>
        <v>3174067.026809345</v>
      </c>
      <c r="AM14" s="131">
        <f t="shared" si="22"/>
        <v>0.38414165341968926</v>
      </c>
      <c r="AN14" s="129">
        <f t="shared" si="9"/>
        <v>0.61585834658031069</v>
      </c>
      <c r="AO14" s="130">
        <f t="shared" si="10"/>
        <v>0.38414165341968926</v>
      </c>
      <c r="AP14" s="19" t="s">
        <v>70</v>
      </c>
      <c r="AQ14" s="20"/>
      <c r="AR14" s="20"/>
      <c r="AS14" s="20"/>
      <c r="AT14" s="21" t="s">
        <v>59</v>
      </c>
      <c r="AU14" s="22"/>
      <c r="AV14" s="15"/>
      <c r="AW14" s="15"/>
      <c r="AX14" s="15"/>
      <c r="AY14" s="136">
        <v>7182.0252581241502</v>
      </c>
      <c r="AZ14" s="125">
        <v>1.6588770224750318E-2</v>
      </c>
      <c r="BA14" s="15"/>
      <c r="BB14" s="136">
        <v>7182.0252581241502</v>
      </c>
      <c r="BC14" s="131">
        <v>0.30992363989120947</v>
      </c>
      <c r="BD14" s="15"/>
      <c r="BE14" s="136">
        <v>7182.0252581241502</v>
      </c>
      <c r="BF14" s="18">
        <v>13.777836595889282</v>
      </c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</row>
    <row r="15" spans="1:71" ht="15.75" customHeight="1" x14ac:dyDescent="0.35">
      <c r="A15" s="7">
        <v>14</v>
      </c>
      <c r="B15" s="23" t="s">
        <v>157</v>
      </c>
      <c r="C15" s="132"/>
      <c r="D15" s="132">
        <v>2.6858807252675798</v>
      </c>
      <c r="E15" s="132">
        <v>1.8276414048004499</v>
      </c>
      <c r="F15" s="133">
        <v>3.5441200457347102</v>
      </c>
      <c r="G15" s="23">
        <v>1.6457918869547601</v>
      </c>
      <c r="H15" s="132">
        <v>0.991731742849709</v>
      </c>
      <c r="I15" s="134">
        <v>2.6858807252675798</v>
      </c>
      <c r="J15" s="135">
        <v>2745972</v>
      </c>
      <c r="K15" s="134">
        <v>2023</v>
      </c>
      <c r="L15" s="136">
        <v>23547179830.441299</v>
      </c>
      <c r="M15" s="132">
        <v>2023</v>
      </c>
      <c r="N15" s="136">
        <v>8575.1711344621308</v>
      </c>
      <c r="O15" s="133">
        <v>2023</v>
      </c>
      <c r="P15" s="136">
        <v>21085728668.989101</v>
      </c>
      <c r="Q15" s="132">
        <v>2023</v>
      </c>
      <c r="R15" s="132">
        <v>7680</v>
      </c>
      <c r="S15" s="134">
        <v>2023</v>
      </c>
      <c r="T15" s="17">
        <v>29.4</v>
      </c>
      <c r="U15" s="133">
        <v>2020</v>
      </c>
      <c r="V15" s="23">
        <v>4.7597642193010703</v>
      </c>
      <c r="W15" s="134">
        <v>2023</v>
      </c>
      <c r="X15" s="143">
        <v>2.7</v>
      </c>
      <c r="Y15" s="144">
        <v>2018</v>
      </c>
      <c r="Z15" s="135">
        <f t="shared" ref="Z15:AB15" si="26">(AJ15*40)* 48</f>
        <v>86770530.036574781</v>
      </c>
      <c r="AA15" s="135">
        <f t="shared" si="26"/>
        <v>52286737.869628817</v>
      </c>
      <c r="AB15" s="138">
        <f t="shared" si="26"/>
        <v>139057267.9062036</v>
      </c>
      <c r="AC15" s="18">
        <f t="shared" si="1"/>
        <v>19.041249462714411</v>
      </c>
      <c r="AD15" s="120">
        <f t="shared" si="2"/>
        <v>234280431.09875193</v>
      </c>
      <c r="AE15" s="121">
        <f t="shared" si="3"/>
        <v>141174192.24799782</v>
      </c>
      <c r="AF15" s="122">
        <f t="shared" si="4"/>
        <v>375454623.34674978</v>
      </c>
      <c r="AG15" s="123">
        <f t="shared" si="5"/>
        <v>9.9494051001334394E-3</v>
      </c>
      <c r="AH15" s="124">
        <f t="shared" si="6"/>
        <v>5.9953758057043754E-3</v>
      </c>
      <c r="AI15" s="125">
        <f t="shared" si="7"/>
        <v>1.5944780905837813E-2</v>
      </c>
      <c r="AJ15" s="139">
        <v>45192.984394049367</v>
      </c>
      <c r="AK15" s="140">
        <v>27232.67597376501</v>
      </c>
      <c r="AL15" s="140">
        <f t="shared" si="8"/>
        <v>72425.660367814373</v>
      </c>
      <c r="AM15" s="131">
        <f t="shared" si="22"/>
        <v>0.37600866647902986</v>
      </c>
      <c r="AN15" s="129">
        <f t="shared" si="9"/>
        <v>0.62399133352097014</v>
      </c>
      <c r="AO15" s="130">
        <f t="shared" si="10"/>
        <v>0.37600866647902992</v>
      </c>
      <c r="AP15" s="19" t="s">
        <v>57</v>
      </c>
      <c r="AQ15" s="20" t="s">
        <v>158</v>
      </c>
      <c r="AR15" s="20" t="s">
        <v>159</v>
      </c>
      <c r="AS15" s="20" t="s">
        <v>160</v>
      </c>
      <c r="AT15" s="21" t="s">
        <v>152</v>
      </c>
      <c r="AU15" s="22" t="s">
        <v>60</v>
      </c>
      <c r="AV15" s="15"/>
      <c r="AW15" s="15"/>
      <c r="AX15" s="15"/>
      <c r="AY15" s="136">
        <v>771.88714208967701</v>
      </c>
      <c r="AZ15" s="125">
        <v>0.10119256908784519</v>
      </c>
      <c r="BB15" s="136">
        <v>771.88714208967701</v>
      </c>
      <c r="BC15" s="131">
        <v>0.41001925774691872</v>
      </c>
      <c r="BE15" s="136">
        <v>771.88714208967701</v>
      </c>
      <c r="BF15" s="18">
        <v>29.114812562857921</v>
      </c>
    </row>
    <row r="16" spans="1:71" ht="15.75" customHeight="1" x14ac:dyDescent="0.35">
      <c r="A16" s="7">
        <v>15</v>
      </c>
      <c r="B16" s="23" t="s">
        <v>153</v>
      </c>
      <c r="C16" s="132"/>
      <c r="D16" s="132">
        <v>3.08878247250462</v>
      </c>
      <c r="E16" s="132">
        <v>2.1706207700858902</v>
      </c>
      <c r="F16" s="133">
        <v>4.0069441749233503</v>
      </c>
      <c r="G16" s="23">
        <v>1.92791496077521</v>
      </c>
      <c r="H16" s="132">
        <v>1.17773013795779</v>
      </c>
      <c r="I16" s="134">
        <v>3.08878247250462</v>
      </c>
      <c r="J16" s="135">
        <v>2990900</v>
      </c>
      <c r="K16" s="134">
        <v>2023</v>
      </c>
      <c r="L16" s="136">
        <v>24085749592.335899</v>
      </c>
      <c r="M16" s="132">
        <v>2023</v>
      </c>
      <c r="N16" s="136">
        <v>8053.0106631234503</v>
      </c>
      <c r="O16" s="133">
        <v>2023</v>
      </c>
      <c r="P16" s="136">
        <v>20271184637.3755</v>
      </c>
      <c r="Q16" s="132">
        <v>2023</v>
      </c>
      <c r="R16" s="132">
        <v>6780</v>
      </c>
      <c r="S16" s="134">
        <v>2023</v>
      </c>
      <c r="T16" s="17">
        <v>27.9</v>
      </c>
      <c r="U16" s="133">
        <v>2022</v>
      </c>
      <c r="V16" s="23">
        <v>1.9804187761555401</v>
      </c>
      <c r="W16" s="134">
        <v>2023</v>
      </c>
      <c r="X16" s="137">
        <v>1.228</v>
      </c>
      <c r="Y16" s="133">
        <v>2017</v>
      </c>
      <c r="Z16" s="135">
        <f t="shared" ref="Z16:AB16" si="27">(AJ16*40)* 48</f>
        <v>110711056.43870544</v>
      </c>
      <c r="AA16" s="135">
        <f t="shared" si="27"/>
        <v>67631482.93666473</v>
      </c>
      <c r="AB16" s="138">
        <f t="shared" si="27"/>
        <v>178342539.37537017</v>
      </c>
      <c r="AC16" s="18">
        <f t="shared" si="1"/>
        <v>22.612418648789571</v>
      </c>
      <c r="AD16" s="120">
        <f t="shared" si="2"/>
        <v>135953177.30673027</v>
      </c>
      <c r="AE16" s="121">
        <f t="shared" si="3"/>
        <v>83051461.046224281</v>
      </c>
      <c r="AF16" s="122">
        <f t="shared" si="4"/>
        <v>219004638.35295457</v>
      </c>
      <c r="AG16" s="123">
        <f t="shared" si="5"/>
        <v>5.6445483162371936E-3</v>
      </c>
      <c r="AH16" s="124">
        <f t="shared" si="6"/>
        <v>3.4481576223249996E-3</v>
      </c>
      <c r="AI16" s="125">
        <f t="shared" si="7"/>
        <v>9.0927059385621928E-3</v>
      </c>
      <c r="AJ16" s="139">
        <v>57662.008561825758</v>
      </c>
      <c r="AK16" s="140">
        <v>35224.73069617954</v>
      </c>
      <c r="AL16" s="140">
        <f t="shared" si="8"/>
        <v>92886.739258005298</v>
      </c>
      <c r="AM16" s="131">
        <f t="shared" si="22"/>
        <v>0.37922238392218893</v>
      </c>
      <c r="AN16" s="129">
        <f t="shared" si="9"/>
        <v>0.62077761607781112</v>
      </c>
      <c r="AO16" s="130">
        <f t="shared" si="10"/>
        <v>0.37922238392218888</v>
      </c>
      <c r="AP16" s="19" t="s">
        <v>57</v>
      </c>
      <c r="AQ16" s="20" t="s">
        <v>154</v>
      </c>
      <c r="AR16" s="20" t="s">
        <v>155</v>
      </c>
      <c r="AS16" s="20" t="s">
        <v>156</v>
      </c>
      <c r="AT16" s="21" t="s">
        <v>152</v>
      </c>
      <c r="AU16" s="22" t="s">
        <v>60</v>
      </c>
      <c r="AV16" s="15"/>
      <c r="AW16" s="15"/>
      <c r="AX16" s="15"/>
      <c r="AY16" s="136">
        <v>8053.0106631234503</v>
      </c>
      <c r="AZ16" s="125">
        <v>9.0927059385621928E-3</v>
      </c>
      <c r="BA16" s="15"/>
      <c r="BB16" s="136">
        <v>8053.0106631234503</v>
      </c>
      <c r="BC16" s="131">
        <v>0.37922238392218893</v>
      </c>
      <c r="BD16" s="15"/>
      <c r="BE16" s="136">
        <v>8053.0106631234503</v>
      </c>
      <c r="BF16" s="18">
        <v>22.612418648789571</v>
      </c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</row>
    <row r="17" spans="1:71" ht="15.75" customHeight="1" x14ac:dyDescent="0.35">
      <c r="A17" s="7">
        <v>16</v>
      </c>
      <c r="B17" s="23" t="s">
        <v>285</v>
      </c>
      <c r="C17" s="132">
        <v>10.5</v>
      </c>
      <c r="D17" s="132">
        <v>9.5417174451349709</v>
      </c>
      <c r="E17" s="132">
        <v>8.2671764519975106</v>
      </c>
      <c r="F17" s="133">
        <v>10.816258438272399</v>
      </c>
      <c r="G17" s="23">
        <v>5.1189273224693403</v>
      </c>
      <c r="H17" s="132">
        <v>4.5051170922407602</v>
      </c>
      <c r="I17" s="134">
        <v>10.5</v>
      </c>
      <c r="J17" s="135">
        <v>9131761</v>
      </c>
      <c r="K17" s="134">
        <v>2023</v>
      </c>
      <c r="L17" s="136">
        <v>511685203845.00098</v>
      </c>
      <c r="M17" s="132">
        <v>2023</v>
      </c>
      <c r="N17" s="136">
        <v>56033.573792064999</v>
      </c>
      <c r="O17" s="133">
        <v>2023</v>
      </c>
      <c r="P17" s="136">
        <v>502500767868.54303</v>
      </c>
      <c r="Q17" s="132">
        <v>2023</v>
      </c>
      <c r="R17" s="132">
        <v>55030</v>
      </c>
      <c r="S17" s="134">
        <v>2023</v>
      </c>
      <c r="T17" s="17">
        <v>30.7</v>
      </c>
      <c r="U17" s="133">
        <v>2021</v>
      </c>
      <c r="V17" s="23">
        <v>7.8141341700283196</v>
      </c>
      <c r="W17" s="134">
        <v>2023</v>
      </c>
      <c r="X17" s="143">
        <v>25.9</v>
      </c>
      <c r="Y17" s="144">
        <v>2021</v>
      </c>
      <c r="Z17" s="135">
        <f t="shared" ref="Z17:AB17" si="28">(AJ17*40)* 48</f>
        <v>897500560.99507105</v>
      </c>
      <c r="AA17" s="135">
        <f t="shared" si="28"/>
        <v>789881329.21646559</v>
      </c>
      <c r="AB17" s="138">
        <f t="shared" si="28"/>
        <v>1687381890.2115364</v>
      </c>
      <c r="AC17" s="18">
        <f t="shared" si="1"/>
        <v>86.49824817102261</v>
      </c>
      <c r="AD17" s="120">
        <f t="shared" si="2"/>
        <v>23245264529.772339</v>
      </c>
      <c r="AE17" s="121">
        <f t="shared" si="3"/>
        <v>20457926426.706459</v>
      </c>
      <c r="AF17" s="122">
        <f t="shared" si="4"/>
        <v>43703190956.478798</v>
      </c>
      <c r="AG17" s="123">
        <f t="shared" si="5"/>
        <v>4.5428838581022882E-2</v>
      </c>
      <c r="AH17" s="124">
        <f t="shared" si="6"/>
        <v>3.9981469608614179E-2</v>
      </c>
      <c r="AI17" s="125">
        <f t="shared" si="7"/>
        <v>8.541030818963706E-2</v>
      </c>
      <c r="AJ17" s="139">
        <v>467448.20885159948</v>
      </c>
      <c r="AK17" s="140">
        <v>411396.5256335758</v>
      </c>
      <c r="AL17" s="140">
        <f t="shared" si="8"/>
        <v>878844.73448517523</v>
      </c>
      <c r="AM17" s="131">
        <f t="shared" si="22"/>
        <v>0.46811058824238244</v>
      </c>
      <c r="AN17" s="129">
        <f t="shared" si="9"/>
        <v>0.53188941175761761</v>
      </c>
      <c r="AO17" s="130">
        <f t="shared" si="10"/>
        <v>0.46811058824238244</v>
      </c>
      <c r="AP17" s="19" t="s">
        <v>57</v>
      </c>
      <c r="AQ17" s="20" t="s">
        <v>286</v>
      </c>
      <c r="AR17" s="20" t="s">
        <v>287</v>
      </c>
      <c r="AS17" s="20" t="s">
        <v>288</v>
      </c>
      <c r="AT17" s="21" t="s">
        <v>247</v>
      </c>
      <c r="AU17" s="22" t="s">
        <v>248</v>
      </c>
      <c r="AV17" s="15"/>
      <c r="AW17" s="15"/>
      <c r="AX17" s="15"/>
      <c r="AY17" s="136">
        <v>54700.9093236712</v>
      </c>
      <c r="AZ17" s="125">
        <v>0.10621098403800211</v>
      </c>
      <c r="BA17" s="15"/>
      <c r="BB17" s="136">
        <v>54700.9093236712</v>
      </c>
      <c r="BC17" s="131">
        <v>0.25137109775566502</v>
      </c>
      <c r="BD17" s="15"/>
      <c r="BE17" s="136">
        <v>54700.9093236712</v>
      </c>
      <c r="BF17" s="18">
        <v>62.145753480414136</v>
      </c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</row>
    <row r="18" spans="1:71" ht="15.75" customHeight="1" x14ac:dyDescent="0.35">
      <c r="A18" s="7">
        <v>17</v>
      </c>
      <c r="B18" s="23" t="s">
        <v>255</v>
      </c>
      <c r="C18" s="132">
        <v>14.7</v>
      </c>
      <c r="D18" s="132">
        <v>12.709521855296099</v>
      </c>
      <c r="E18" s="132">
        <v>9.4158846775538105</v>
      </c>
      <c r="F18" s="133">
        <v>16.003159033038301</v>
      </c>
      <c r="G18" s="23">
        <v>9.6396546991376493</v>
      </c>
      <c r="H18" s="132">
        <v>3.2367579937715698</v>
      </c>
      <c r="I18" s="134">
        <v>14.7</v>
      </c>
      <c r="J18" s="135">
        <v>11787423</v>
      </c>
      <c r="K18" s="134">
        <v>2023</v>
      </c>
      <c r="L18" s="136">
        <v>644782756682.75598</v>
      </c>
      <c r="M18" s="132">
        <v>2023</v>
      </c>
      <c r="N18" s="136">
        <v>54700.9093236712</v>
      </c>
      <c r="O18" s="133">
        <v>2023</v>
      </c>
      <c r="P18" s="136">
        <v>643394148662.12195</v>
      </c>
      <c r="Q18" s="132">
        <v>2023</v>
      </c>
      <c r="R18" s="132">
        <v>54580</v>
      </c>
      <c r="S18" s="134">
        <v>2023</v>
      </c>
      <c r="T18" s="17">
        <v>26.6</v>
      </c>
      <c r="U18" s="133">
        <v>2021</v>
      </c>
      <c r="V18" s="23">
        <v>4.0490107761394096</v>
      </c>
      <c r="W18" s="134">
        <v>2023</v>
      </c>
      <c r="X18" s="143">
        <v>23.5</v>
      </c>
      <c r="Y18" s="144">
        <v>2018</v>
      </c>
      <c r="Z18" s="135">
        <f t="shared" ref="Z18:AB18" si="29">(AJ18*40)* 48</f>
        <v>2181632400.2433257</v>
      </c>
      <c r="AA18" s="135">
        <f t="shared" si="29"/>
        <v>732538283.92736363</v>
      </c>
      <c r="AB18" s="138">
        <f t="shared" si="29"/>
        <v>2914170684.1706891</v>
      </c>
      <c r="AC18" s="18">
        <f t="shared" si="1"/>
        <v>62.145753480414136</v>
      </c>
      <c r="AD18" s="120">
        <f t="shared" si="2"/>
        <v>51268361405.718155</v>
      </c>
      <c r="AE18" s="121">
        <f t="shared" si="3"/>
        <v>17214649672.293045</v>
      </c>
      <c r="AF18" s="122">
        <f t="shared" si="4"/>
        <v>68483011078.0112</v>
      </c>
      <c r="AG18" s="123">
        <f t="shared" si="5"/>
        <v>7.9512612386660103E-2</v>
      </c>
      <c r="AH18" s="124">
        <f t="shared" si="6"/>
        <v>2.669837165134201E-2</v>
      </c>
      <c r="AI18" s="125">
        <f t="shared" si="7"/>
        <v>0.10621098403800211</v>
      </c>
      <c r="AJ18" s="139">
        <v>1136266.875126732</v>
      </c>
      <c r="AK18" s="140">
        <v>381530.35621216858</v>
      </c>
      <c r="AL18" s="140">
        <f t="shared" si="8"/>
        <v>1517797.2313389005</v>
      </c>
      <c r="AM18" s="131">
        <f t="shared" si="22"/>
        <v>0.25137109775566502</v>
      </c>
      <c r="AN18" s="129">
        <f t="shared" si="9"/>
        <v>0.74862890224433498</v>
      </c>
      <c r="AO18" s="130">
        <f t="shared" si="10"/>
        <v>0.25137109775566507</v>
      </c>
      <c r="AP18" s="19" t="s">
        <v>57</v>
      </c>
      <c r="AQ18" s="20" t="s">
        <v>256</v>
      </c>
      <c r="AR18" s="20" t="s">
        <v>257</v>
      </c>
      <c r="AS18" s="20" t="s">
        <v>258</v>
      </c>
      <c r="AT18" s="21" t="s">
        <v>247</v>
      </c>
      <c r="AU18" s="22" t="s">
        <v>248</v>
      </c>
      <c r="AV18" s="15"/>
      <c r="AW18" s="15"/>
      <c r="AX18" s="15"/>
      <c r="AY18" s="136">
        <v>1596.63696129001</v>
      </c>
      <c r="AZ18" s="125">
        <v>6.4053730431348016E-2</v>
      </c>
      <c r="BA18" s="15"/>
      <c r="BB18" s="136">
        <v>1596.63696129001</v>
      </c>
      <c r="BC18" s="131">
        <v>0.42938918679827043</v>
      </c>
      <c r="BD18" s="15"/>
      <c r="BE18" s="136">
        <v>1596.63696129001</v>
      </c>
      <c r="BF18" s="18">
        <v>21.112437407355451</v>
      </c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</row>
    <row r="19" spans="1:71" ht="15.75" customHeight="1" x14ac:dyDescent="0.35">
      <c r="A19" s="7">
        <v>18</v>
      </c>
      <c r="B19" s="23" t="s">
        <v>161</v>
      </c>
      <c r="C19" s="132"/>
      <c r="D19" s="132">
        <v>3.0949241800446901</v>
      </c>
      <c r="E19" s="132">
        <v>2.2179700403704499</v>
      </c>
      <c r="F19" s="133">
        <v>3.97187831971894</v>
      </c>
      <c r="G19" s="23">
        <v>2.23826255150516</v>
      </c>
      <c r="H19" s="132">
        <v>0.69392920083607601</v>
      </c>
      <c r="I19" s="134">
        <v>3.0949241800446901</v>
      </c>
      <c r="J19" s="135">
        <v>3185073</v>
      </c>
      <c r="K19" s="134">
        <v>2023</v>
      </c>
      <c r="L19" s="136">
        <v>27514782476.0406</v>
      </c>
      <c r="M19" s="132">
        <v>2023</v>
      </c>
      <c r="N19" s="136">
        <v>8638.6662020118692</v>
      </c>
      <c r="O19" s="133">
        <v>2023</v>
      </c>
      <c r="P19" s="136">
        <v>26361981841.587002</v>
      </c>
      <c r="Q19" s="132">
        <v>2023</v>
      </c>
      <c r="R19" s="132">
        <v>8280</v>
      </c>
      <c r="S19" s="134">
        <v>2023</v>
      </c>
      <c r="T19" s="17">
        <v>33</v>
      </c>
      <c r="U19" s="133">
        <v>2011</v>
      </c>
      <c r="V19" s="23">
        <v>6.1059011284827998</v>
      </c>
      <c r="W19" s="134">
        <v>2023</v>
      </c>
      <c r="X19" s="137">
        <v>4.8460000000000001</v>
      </c>
      <c r="Y19" s="133">
        <v>2023</v>
      </c>
      <c r="Z19" s="135">
        <f t="shared" ref="Z19:AB19" si="30">(AJ19*40)* 48</f>
        <v>136877368.69843572</v>
      </c>
      <c r="AA19" s="135">
        <f t="shared" si="30"/>
        <v>42436131.10069561</v>
      </c>
      <c r="AB19" s="138">
        <f t="shared" si="30"/>
        <v>179313499.79913133</v>
      </c>
      <c r="AC19" s="18">
        <f t="shared" si="1"/>
        <v>13.323440656052659</v>
      </c>
      <c r="AD19" s="120">
        <f t="shared" si="2"/>
        <v>663307728.71261954</v>
      </c>
      <c r="AE19" s="121">
        <f t="shared" si="3"/>
        <v>205645491.31397092</v>
      </c>
      <c r="AF19" s="122">
        <f t="shared" si="4"/>
        <v>868953220.02659047</v>
      </c>
      <c r="AG19" s="123">
        <f t="shared" si="5"/>
        <v>2.410732228358398E-2</v>
      </c>
      <c r="AH19" s="124">
        <f t="shared" si="6"/>
        <v>7.4740002576085592E-3</v>
      </c>
      <c r="AI19" s="125">
        <f t="shared" si="7"/>
        <v>3.1581322541192537E-2</v>
      </c>
      <c r="AJ19" s="139">
        <v>71290.296197101939</v>
      </c>
      <c r="AK19" s="140">
        <v>22102.151614945629</v>
      </c>
      <c r="AL19" s="140">
        <f t="shared" si="8"/>
        <v>93392.447812047569</v>
      </c>
      <c r="AM19" s="131">
        <f t="shared" si="22"/>
        <v>0.23665887480994438</v>
      </c>
      <c r="AN19" s="129">
        <f t="shared" si="9"/>
        <v>0.76334112519005559</v>
      </c>
      <c r="AO19" s="130">
        <f t="shared" si="10"/>
        <v>0.23665887480994438</v>
      </c>
      <c r="AP19" s="19" t="s">
        <v>57</v>
      </c>
      <c r="AQ19" s="20" t="s">
        <v>162</v>
      </c>
      <c r="AR19" s="20" t="s">
        <v>163</v>
      </c>
      <c r="AS19" s="20" t="s">
        <v>164</v>
      </c>
      <c r="AT19" s="21" t="s">
        <v>152</v>
      </c>
      <c r="AU19" s="22" t="s">
        <v>60</v>
      </c>
      <c r="AV19" s="15"/>
      <c r="AW19" s="15"/>
      <c r="AX19" s="15"/>
      <c r="AY19" s="136">
        <v>6839.7250388696802</v>
      </c>
      <c r="AZ19" s="125">
        <v>2.8421399004081683E-2</v>
      </c>
      <c r="BA19" s="15"/>
      <c r="BB19" s="136">
        <v>6839.7250388696802</v>
      </c>
      <c r="BC19" s="131">
        <v>0.42666663585833614</v>
      </c>
      <c r="BD19" s="15"/>
      <c r="BE19" s="136">
        <v>6839.7250388696802</v>
      </c>
      <c r="BF19" s="18">
        <v>43.3342061433694</v>
      </c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</row>
    <row r="20" spans="1:71" ht="15.75" customHeight="1" x14ac:dyDescent="0.35">
      <c r="A20" s="7">
        <v>19</v>
      </c>
      <c r="B20" s="23" t="s">
        <v>191</v>
      </c>
      <c r="C20" s="132">
        <v>1.5</v>
      </c>
      <c r="D20" s="132">
        <v>2.5375946651097299</v>
      </c>
      <c r="E20" s="132">
        <v>1.04690731846414</v>
      </c>
      <c r="F20" s="133">
        <v>4.0282820117553202</v>
      </c>
      <c r="G20" s="23">
        <v>1.9194828520060501</v>
      </c>
      <c r="H20" s="132">
        <v>0.65290649508371501</v>
      </c>
      <c r="I20" s="134">
        <v>1.5</v>
      </c>
      <c r="J20" s="135">
        <v>6446596</v>
      </c>
      <c r="K20" s="134">
        <v>2023</v>
      </c>
      <c r="L20" s="136">
        <v>102407653020.606</v>
      </c>
      <c r="M20" s="132">
        <v>2023</v>
      </c>
      <c r="N20" s="136">
        <v>15885.5391311331</v>
      </c>
      <c r="O20" s="133">
        <v>2023</v>
      </c>
      <c r="P20" s="136">
        <v>92031013248.855103</v>
      </c>
      <c r="Q20" s="132">
        <v>2023</v>
      </c>
      <c r="R20" s="132">
        <v>14280</v>
      </c>
      <c r="S20" s="134">
        <v>2023</v>
      </c>
      <c r="T20" s="17">
        <v>39</v>
      </c>
      <c r="U20" s="133">
        <v>2021</v>
      </c>
      <c r="V20" s="23">
        <v>9.4428414008856407</v>
      </c>
      <c r="W20" s="134">
        <v>2023</v>
      </c>
      <c r="X20" s="143">
        <v>3.6</v>
      </c>
      <c r="Y20" s="144">
        <v>2018</v>
      </c>
      <c r="Z20" s="135">
        <f t="shared" ref="Z20:AB20" si="31">(AJ20*40)* 48</f>
        <v>237583305.13556737</v>
      </c>
      <c r="AA20" s="135">
        <f t="shared" si="31"/>
        <v>80813268.471949384</v>
      </c>
      <c r="AB20" s="138">
        <f t="shared" si="31"/>
        <v>318396573.60751677</v>
      </c>
      <c r="AC20" s="18">
        <f t="shared" si="1"/>
        <v>12.53580470560733</v>
      </c>
      <c r="AD20" s="120">
        <f t="shared" si="2"/>
        <v>855299898.48804259</v>
      </c>
      <c r="AE20" s="121">
        <f t="shared" si="3"/>
        <v>290927766.49901778</v>
      </c>
      <c r="AF20" s="122">
        <f t="shared" si="4"/>
        <v>1146227664.9870603</v>
      </c>
      <c r="AG20" s="123">
        <f t="shared" si="5"/>
        <v>8.3519138781155654E-3</v>
      </c>
      <c r="AH20" s="124">
        <f t="shared" si="6"/>
        <v>2.8408791522688114E-3</v>
      </c>
      <c r="AI20" s="125">
        <f t="shared" si="7"/>
        <v>1.1192793030384377E-2</v>
      </c>
      <c r="AJ20" s="139">
        <v>123741.304758108</v>
      </c>
      <c r="AK20" s="140">
        <v>42090.243995806974</v>
      </c>
      <c r="AL20" s="140">
        <f t="shared" si="8"/>
        <v>165831.54875391498</v>
      </c>
      <c r="AM20" s="131">
        <f t="shared" si="22"/>
        <v>0.25381324791380083</v>
      </c>
      <c r="AN20" s="129">
        <f t="shared" si="9"/>
        <v>0.74618675208619911</v>
      </c>
      <c r="AO20" s="130">
        <f t="shared" si="10"/>
        <v>0.25381324791380083</v>
      </c>
      <c r="AP20" s="19" t="s">
        <v>57</v>
      </c>
      <c r="AQ20" s="20" t="s">
        <v>192</v>
      </c>
      <c r="AR20" s="20" t="s">
        <v>193</v>
      </c>
      <c r="AS20" s="20" t="s">
        <v>194</v>
      </c>
      <c r="AT20" s="21" t="s">
        <v>152</v>
      </c>
      <c r="AU20" s="22" t="s">
        <v>60</v>
      </c>
      <c r="AV20" s="15"/>
      <c r="AW20" s="15"/>
      <c r="AX20" s="15"/>
      <c r="AY20" s="35"/>
      <c r="AZ20" s="125"/>
      <c r="BA20" s="15"/>
      <c r="BB20" s="136"/>
      <c r="BC20" s="131"/>
      <c r="BD20" s="15"/>
      <c r="BE20" s="136"/>
      <c r="BF20" s="18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</row>
    <row r="21" spans="1:71" ht="15.75" customHeight="1" x14ac:dyDescent="0.35">
      <c r="A21" s="7">
        <v>20</v>
      </c>
      <c r="B21" s="23" t="s">
        <v>271</v>
      </c>
      <c r="C21" s="132">
        <v>6.4</v>
      </c>
      <c r="D21" s="132">
        <v>4.7750643644058899</v>
      </c>
      <c r="E21" s="132">
        <v>2.3258750093095002</v>
      </c>
      <c r="F21" s="133">
        <v>7.22425371950228</v>
      </c>
      <c r="G21" s="23">
        <v>3.3050056373688901</v>
      </c>
      <c r="H21" s="132">
        <v>1.4784906317268001</v>
      </c>
      <c r="I21" s="134">
        <v>6.4</v>
      </c>
      <c r="J21" s="135">
        <v>3859686</v>
      </c>
      <c r="K21" s="134">
        <v>2023</v>
      </c>
      <c r="L21" s="136">
        <v>84393795502.442093</v>
      </c>
      <c r="M21" s="132">
        <v>2023</v>
      </c>
      <c r="N21" s="136">
        <v>21865.4562838641</v>
      </c>
      <c r="O21" s="133">
        <v>2023</v>
      </c>
      <c r="P21" s="136">
        <v>79478610062.696503</v>
      </c>
      <c r="Q21" s="132">
        <v>2023</v>
      </c>
      <c r="R21" s="132">
        <v>20590</v>
      </c>
      <c r="S21" s="134">
        <v>2023</v>
      </c>
      <c r="T21" s="17">
        <v>28.9</v>
      </c>
      <c r="U21" s="133">
        <v>2021</v>
      </c>
      <c r="V21" s="23">
        <v>7.9412817758683003</v>
      </c>
      <c r="W21" s="134">
        <v>2023</v>
      </c>
      <c r="X21" s="143">
        <v>7.5</v>
      </c>
      <c r="Y21" s="144">
        <v>2018</v>
      </c>
      <c r="Z21" s="135">
        <f t="shared" ref="Z21:AB21" si="32">(AJ21*40)* 48</f>
        <v>244920652.57869655</v>
      </c>
      <c r="AA21" s="135">
        <f t="shared" si="32"/>
        <v>109564984.17421606</v>
      </c>
      <c r="AB21" s="138">
        <f t="shared" si="32"/>
        <v>354485636.75291264</v>
      </c>
      <c r="AC21" s="18">
        <f t="shared" si="1"/>
        <v>28.387020129154564</v>
      </c>
      <c r="AD21" s="120">
        <f t="shared" si="2"/>
        <v>1836904894.340224</v>
      </c>
      <c r="AE21" s="121">
        <f t="shared" si="3"/>
        <v>821737381.30662048</v>
      </c>
      <c r="AF21" s="122">
        <f t="shared" si="4"/>
        <v>2658642275.6468444</v>
      </c>
      <c r="AG21" s="123">
        <f t="shared" si="5"/>
        <v>2.1765876074231898E-2</v>
      </c>
      <c r="AH21" s="124">
        <f t="shared" si="6"/>
        <v>9.7369406887600155E-3</v>
      </c>
      <c r="AI21" s="125">
        <f t="shared" si="7"/>
        <v>3.1502816762991916E-2</v>
      </c>
      <c r="AJ21" s="139">
        <v>127562.8398847378</v>
      </c>
      <c r="AK21" s="140">
        <v>57065.095924070862</v>
      </c>
      <c r="AL21" s="140">
        <f t="shared" si="8"/>
        <v>184627.93580880866</v>
      </c>
      <c r="AM21" s="131">
        <f t="shared" si="22"/>
        <v>0.30908158981512202</v>
      </c>
      <c r="AN21" s="129">
        <f t="shared" si="9"/>
        <v>0.6909184101848781</v>
      </c>
      <c r="AO21" s="130">
        <f t="shared" si="10"/>
        <v>0.30908158981512196</v>
      </c>
      <c r="AP21" s="19" t="s">
        <v>57</v>
      </c>
      <c r="AQ21" s="20" t="s">
        <v>272</v>
      </c>
      <c r="AR21" s="20" t="s">
        <v>273</v>
      </c>
      <c r="AS21" s="20" t="s">
        <v>274</v>
      </c>
      <c r="AT21" s="21" t="s">
        <v>247</v>
      </c>
      <c r="AU21" s="22" t="s">
        <v>60</v>
      </c>
      <c r="AV21" s="15"/>
      <c r="AW21" s="15"/>
      <c r="AX21" s="15"/>
      <c r="AY21" s="136">
        <v>1330.7278057670901</v>
      </c>
      <c r="AZ21" s="125">
        <v>3.8800968784005477E-2</v>
      </c>
      <c r="BA21" s="15"/>
      <c r="BB21" s="136">
        <v>1330.7278057670901</v>
      </c>
      <c r="BC21" s="131">
        <v>0.44526560579827462</v>
      </c>
      <c r="BD21" s="15"/>
      <c r="BE21" s="136">
        <v>1330.7278057670901</v>
      </c>
      <c r="BF21" s="18">
        <v>25.071574860837124</v>
      </c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</row>
    <row r="22" spans="1:71" ht="14.5" x14ac:dyDescent="0.35">
      <c r="A22" s="7">
        <v>21</v>
      </c>
      <c r="B22" s="23" t="s">
        <v>289</v>
      </c>
      <c r="C22" s="132">
        <v>12.2</v>
      </c>
      <c r="D22" s="132">
        <v>11.033738245873</v>
      </c>
      <c r="E22" s="132">
        <v>8.8949630672833706</v>
      </c>
      <c r="F22" s="133">
        <v>13.172513424462499</v>
      </c>
      <c r="G22" s="23">
        <v>6.4956994742711496</v>
      </c>
      <c r="H22" s="132">
        <v>4.50617296215274</v>
      </c>
      <c r="I22" s="134">
        <v>12.2</v>
      </c>
      <c r="J22" s="135">
        <v>1344976</v>
      </c>
      <c r="K22" s="134">
        <v>2023</v>
      </c>
      <c r="L22" s="136">
        <v>33886930712.339401</v>
      </c>
      <c r="M22" s="132">
        <v>2023</v>
      </c>
      <c r="N22" s="136">
        <v>36551.41796875</v>
      </c>
      <c r="O22" s="133">
        <v>2023</v>
      </c>
      <c r="P22" s="136">
        <v>30557618238.275299</v>
      </c>
      <c r="Q22" s="132">
        <v>2023</v>
      </c>
      <c r="R22" s="132">
        <v>32960</v>
      </c>
      <c r="S22" s="134">
        <v>2023</v>
      </c>
      <c r="T22" s="17">
        <v>31.3</v>
      </c>
      <c r="U22" s="133">
        <v>2021</v>
      </c>
      <c r="V22" s="23">
        <v>3.54134188751663</v>
      </c>
      <c r="W22" s="134">
        <v>2023</v>
      </c>
      <c r="X22" s="143">
        <v>13</v>
      </c>
      <c r="Y22" s="144">
        <v>2018</v>
      </c>
      <c r="Z22" s="135">
        <f t="shared" ref="Z22:AB22" si="33">(AJ22*40)* 48</f>
        <v>167741950.00526041</v>
      </c>
      <c r="AA22" s="135">
        <f t="shared" si="33"/>
        <v>116365334.13013141</v>
      </c>
      <c r="AB22" s="138">
        <f t="shared" si="33"/>
        <v>284107284.13539183</v>
      </c>
      <c r="AC22" s="18">
        <f t="shared" si="1"/>
        <v>86.518520873332619</v>
      </c>
      <c r="AD22" s="120">
        <f t="shared" si="2"/>
        <v>2180645350.0683851</v>
      </c>
      <c r="AE22" s="121">
        <f t="shared" si="3"/>
        <v>1512749343.6917083</v>
      </c>
      <c r="AF22" s="122">
        <f t="shared" si="4"/>
        <v>3693394693.7600937</v>
      </c>
      <c r="AG22" s="123">
        <f t="shared" si="5"/>
        <v>6.4350630294007033E-2</v>
      </c>
      <c r="AH22" s="124">
        <f t="shared" si="6"/>
        <v>4.4641084686399886E-2</v>
      </c>
      <c r="AI22" s="125">
        <f t="shared" si="7"/>
        <v>0.10899171498040691</v>
      </c>
      <c r="AJ22" s="139">
        <v>87365.598961073134</v>
      </c>
      <c r="AK22" s="140">
        <v>60606.944859443443</v>
      </c>
      <c r="AL22" s="140">
        <f t="shared" si="8"/>
        <v>147972.54382051658</v>
      </c>
      <c r="AM22" s="131">
        <f t="shared" si="22"/>
        <v>0.40958236774625356</v>
      </c>
      <c r="AN22" s="129">
        <f t="shared" si="9"/>
        <v>0.59041763225374644</v>
      </c>
      <c r="AO22" s="130">
        <f t="shared" si="10"/>
        <v>0.40958236774625356</v>
      </c>
      <c r="AP22" s="19" t="s">
        <v>57</v>
      </c>
      <c r="AQ22" s="20" t="s">
        <v>290</v>
      </c>
      <c r="AR22" s="20" t="s">
        <v>291</v>
      </c>
      <c r="AS22" s="20" t="s">
        <v>292</v>
      </c>
      <c r="AT22" s="21" t="s">
        <v>247</v>
      </c>
      <c r="AU22" s="22" t="s">
        <v>248</v>
      </c>
      <c r="AV22" s="15"/>
      <c r="AW22" s="15"/>
      <c r="AX22" s="15"/>
      <c r="AY22" s="136">
        <v>22141.866979927599</v>
      </c>
      <c r="AZ22" s="125">
        <v>2.7612648257245843E-2</v>
      </c>
      <c r="BA22" s="15"/>
      <c r="BB22" s="136">
        <v>22141.866979927599</v>
      </c>
      <c r="BC22" s="131">
        <v>0.1914197288262682</v>
      </c>
      <c r="BD22" s="15"/>
      <c r="BE22" s="136">
        <v>22141.866979927599</v>
      </c>
      <c r="BF22" s="18">
        <v>13.608508956297177</v>
      </c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</row>
    <row r="23" spans="1:71" ht="14.5" x14ac:dyDescent="0.35">
      <c r="A23" s="7">
        <v>22</v>
      </c>
      <c r="B23" s="23" t="s">
        <v>253</v>
      </c>
      <c r="C23" s="132">
        <v>3.2</v>
      </c>
      <c r="D23" s="132">
        <v>3.8837590349111402</v>
      </c>
      <c r="E23" s="132">
        <v>2.71476494681044</v>
      </c>
      <c r="F23" s="133">
        <v>5.0527531230118301</v>
      </c>
      <c r="G23" s="23">
        <v>3.0090309727590898</v>
      </c>
      <c r="H23" s="132">
        <v>0.74451216164162803</v>
      </c>
      <c r="I23" s="134">
        <v>3.2</v>
      </c>
      <c r="J23" s="135">
        <v>10864042</v>
      </c>
      <c r="K23" s="134">
        <v>2023</v>
      </c>
      <c r="L23" s="136">
        <v>343207874553.73401</v>
      </c>
      <c r="M23" s="132">
        <v>2023</v>
      </c>
      <c r="N23" s="136">
        <v>31591.177073296902</v>
      </c>
      <c r="O23" s="133">
        <v>2023</v>
      </c>
      <c r="P23" s="136">
        <v>297352887981.10797</v>
      </c>
      <c r="Q23" s="132">
        <v>2023</v>
      </c>
      <c r="R23" s="132">
        <v>27370</v>
      </c>
      <c r="S23" s="134">
        <v>2023</v>
      </c>
      <c r="T23" s="17">
        <v>26.2</v>
      </c>
      <c r="U23" s="133">
        <v>2021</v>
      </c>
      <c r="V23" s="23">
        <v>10.6612601372426</v>
      </c>
      <c r="W23" s="134">
        <v>2023</v>
      </c>
      <c r="X23" s="143">
        <v>9.6</v>
      </c>
      <c r="Y23" s="144">
        <v>2020</v>
      </c>
      <c r="Z23" s="135">
        <f t="shared" ref="Z23:AB23" si="34">(AJ23*40)* 48</f>
        <v>627652586.25322771</v>
      </c>
      <c r="AA23" s="135">
        <f t="shared" si="34"/>
        <v>155297498.75684035</v>
      </c>
      <c r="AB23" s="138">
        <f t="shared" si="34"/>
        <v>782950085.01006794</v>
      </c>
      <c r="AC23" s="18">
        <f t="shared" si="1"/>
        <v>14.294633503519256</v>
      </c>
      <c r="AD23" s="120">
        <f t="shared" si="2"/>
        <v>6025464828.0309858</v>
      </c>
      <c r="AE23" s="121">
        <f t="shared" si="3"/>
        <v>1490855988.0656674</v>
      </c>
      <c r="AF23" s="122">
        <f t="shared" si="4"/>
        <v>7516320816.096653</v>
      </c>
      <c r="AG23" s="123">
        <f t="shared" si="5"/>
        <v>1.7556312878501904E-2</v>
      </c>
      <c r="AH23" s="124">
        <f t="shared" si="6"/>
        <v>4.343886310895973E-3</v>
      </c>
      <c r="AI23" s="125">
        <f t="shared" si="7"/>
        <v>2.1900199189397878E-2</v>
      </c>
      <c r="AJ23" s="139">
        <v>326902.3886735561</v>
      </c>
      <c r="AK23" s="140">
        <v>80884.113935854359</v>
      </c>
      <c r="AL23" s="140">
        <f t="shared" si="8"/>
        <v>407786.50260941044</v>
      </c>
      <c r="AM23" s="131">
        <f t="shared" si="22"/>
        <v>0.19834916903399197</v>
      </c>
      <c r="AN23" s="129">
        <f t="shared" si="9"/>
        <v>0.80165083096600809</v>
      </c>
      <c r="AO23" s="130">
        <f t="shared" si="10"/>
        <v>0.19834916903399197</v>
      </c>
      <c r="AP23" s="19" t="s">
        <v>57</v>
      </c>
      <c r="AQ23" s="20" t="s">
        <v>254</v>
      </c>
      <c r="AR23" s="20"/>
      <c r="AS23" s="20"/>
      <c r="AT23" s="21" t="s">
        <v>247</v>
      </c>
      <c r="AU23" s="22"/>
      <c r="AV23" s="15"/>
      <c r="AW23" s="15"/>
      <c r="AX23" s="15"/>
      <c r="AY23" s="136">
        <v>16942.0268119375</v>
      </c>
      <c r="AZ23" s="125">
        <v>3.1795801002348988E-2</v>
      </c>
      <c r="BA23" s="15"/>
      <c r="BB23" s="136">
        <v>16942.0268119375</v>
      </c>
      <c r="BC23" s="131">
        <v>0.40262776952291668</v>
      </c>
      <c r="BD23" s="15"/>
      <c r="BE23" s="136">
        <v>16942.0268119375</v>
      </c>
      <c r="BF23" s="18">
        <v>44.535865725607486</v>
      </c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</row>
    <row r="24" spans="1:71" ht="14.5" x14ac:dyDescent="0.35">
      <c r="A24" s="7">
        <v>23</v>
      </c>
      <c r="B24" s="23" t="s">
        <v>265</v>
      </c>
      <c r="C24" s="132">
        <v>10.7</v>
      </c>
      <c r="D24" s="132">
        <v>11.0936618967716</v>
      </c>
      <c r="E24" s="132">
        <v>10.1160736362256</v>
      </c>
      <c r="F24" s="133">
        <v>12.0712501573176</v>
      </c>
      <c r="G24" s="23">
        <v>6.9632589637101896</v>
      </c>
      <c r="H24" s="132">
        <v>4.1584292691084803</v>
      </c>
      <c r="I24" s="134">
        <v>10.7</v>
      </c>
      <c r="J24" s="135">
        <v>5946952</v>
      </c>
      <c r="K24" s="134">
        <v>2023</v>
      </c>
      <c r="L24" s="136">
        <v>407091920305.40399</v>
      </c>
      <c r="M24" s="132">
        <v>2023</v>
      </c>
      <c r="N24" s="136">
        <v>68453.876928114507</v>
      </c>
      <c r="O24" s="133">
        <v>2023</v>
      </c>
      <c r="P24" s="136">
        <v>436164758696.36902</v>
      </c>
      <c r="Q24" s="132">
        <v>2023</v>
      </c>
      <c r="R24" s="132">
        <v>73340</v>
      </c>
      <c r="S24" s="134">
        <v>2023</v>
      </c>
      <c r="T24" s="17">
        <v>28.3</v>
      </c>
      <c r="U24" s="133">
        <v>2021</v>
      </c>
      <c r="V24" s="23">
        <v>3.3051781123760602</v>
      </c>
      <c r="W24" s="134">
        <v>2023</v>
      </c>
      <c r="X24" s="143">
        <v>36.700000000000003</v>
      </c>
      <c r="Y24" s="144">
        <v>2014</v>
      </c>
      <c r="Z24" s="135">
        <f t="shared" ref="Z24:AB24" si="35">(AJ24*40)* 48</f>
        <v>795075202.95848143</v>
      </c>
      <c r="AA24" s="135">
        <f t="shared" si="35"/>
        <v>474815601.76863766</v>
      </c>
      <c r="AB24" s="138">
        <f t="shared" si="35"/>
        <v>1269890804.727119</v>
      </c>
      <c r="AC24" s="18">
        <f t="shared" si="1"/>
        <v>79.841841966882811</v>
      </c>
      <c r="AD24" s="120">
        <f t="shared" si="2"/>
        <v>29179259948.576271</v>
      </c>
      <c r="AE24" s="121">
        <f t="shared" si="3"/>
        <v>17425732584.909004</v>
      </c>
      <c r="AF24" s="122">
        <f t="shared" si="4"/>
        <v>46604992533.485275</v>
      </c>
      <c r="AG24" s="123">
        <f t="shared" si="5"/>
        <v>7.1677325176794787E-2</v>
      </c>
      <c r="AH24" s="124">
        <f t="shared" si="6"/>
        <v>4.2805400244338092E-2</v>
      </c>
      <c r="AI24" s="125">
        <f t="shared" si="7"/>
        <v>0.11448272542113289</v>
      </c>
      <c r="AJ24" s="139">
        <v>414101.66820754239</v>
      </c>
      <c r="AK24" s="140">
        <v>247299.79258783211</v>
      </c>
      <c r="AL24" s="140">
        <f t="shared" si="8"/>
        <v>661401.46079537447</v>
      </c>
      <c r="AM24" s="131">
        <f t="shared" si="22"/>
        <v>0.37390270092605998</v>
      </c>
      <c r="AN24" s="129">
        <f t="shared" si="9"/>
        <v>0.62609729907394007</v>
      </c>
      <c r="AO24" s="130">
        <f t="shared" si="10"/>
        <v>0.37390270092606004</v>
      </c>
      <c r="AP24" s="32" t="s">
        <v>57</v>
      </c>
      <c r="AQ24" s="20" t="s">
        <v>266</v>
      </c>
      <c r="AR24" s="20" t="s">
        <v>267</v>
      </c>
      <c r="AS24" s="20" t="s">
        <v>268</v>
      </c>
      <c r="AT24" s="33" t="s">
        <v>247</v>
      </c>
      <c r="AU24" s="15" t="s">
        <v>248</v>
      </c>
      <c r="AV24" s="15"/>
      <c r="AW24" s="15"/>
      <c r="AX24" s="15"/>
      <c r="AY24" s="136">
        <v>13817.0458984375</v>
      </c>
      <c r="AZ24" s="125">
        <v>1.7103411439007898E-2</v>
      </c>
      <c r="BA24" s="15"/>
      <c r="BB24" s="136">
        <v>13817.0458984375</v>
      </c>
      <c r="BC24" s="131">
        <v>0.33334552083341484</v>
      </c>
      <c r="BD24" s="15"/>
      <c r="BE24" s="136">
        <v>13817.0458984375</v>
      </c>
      <c r="BF24" s="18">
        <v>17.419617559339947</v>
      </c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</row>
    <row r="25" spans="1:71" ht="14.5" x14ac:dyDescent="0.35">
      <c r="A25" s="7">
        <v>24</v>
      </c>
      <c r="B25" s="23" t="s">
        <v>302</v>
      </c>
      <c r="C25" s="132">
        <v>5.5</v>
      </c>
      <c r="D25" s="132">
        <v>5.3905327855966698</v>
      </c>
      <c r="E25" s="132">
        <v>4.5661199308821097</v>
      </c>
      <c r="F25" s="133">
        <v>6.2149456403112202</v>
      </c>
      <c r="G25" s="23">
        <v>4.0340440461421103</v>
      </c>
      <c r="H25" s="132">
        <v>1.4030061094533199</v>
      </c>
      <c r="I25" s="134">
        <v>5.5</v>
      </c>
      <c r="J25" s="135">
        <v>1370286</v>
      </c>
      <c r="K25" s="134">
        <v>2023</v>
      </c>
      <c r="L25" s="136">
        <v>41291245222.194801</v>
      </c>
      <c r="M25" s="132">
        <v>2023</v>
      </c>
      <c r="N25" s="136">
        <v>30133.304450454001</v>
      </c>
      <c r="O25" s="133">
        <v>2023</v>
      </c>
      <c r="P25" s="136">
        <v>37843770077.6464</v>
      </c>
      <c r="Q25" s="132">
        <v>2023</v>
      </c>
      <c r="R25" s="132">
        <v>27620</v>
      </c>
      <c r="S25" s="134">
        <v>2023</v>
      </c>
      <c r="T25" s="17">
        <v>31.8</v>
      </c>
      <c r="U25" s="133">
        <v>2021</v>
      </c>
      <c r="V25" s="23">
        <v>9.1592250798398194</v>
      </c>
      <c r="W25" s="134">
        <v>2023</v>
      </c>
      <c r="X25" s="143">
        <v>8.3000000000000007</v>
      </c>
      <c r="Y25" s="144">
        <v>2018</v>
      </c>
      <c r="Z25" s="135">
        <f t="shared" ref="Z25:AB25" si="36">(AJ25*40)* 48</f>
        <v>106133646.33238824</v>
      </c>
      <c r="AA25" s="135">
        <f t="shared" si="36"/>
        <v>36912376.890208356</v>
      </c>
      <c r="AB25" s="138">
        <f t="shared" si="36"/>
        <v>143046023.22259662</v>
      </c>
      <c r="AC25" s="18">
        <f t="shared" si="1"/>
        <v>26.937717301503742</v>
      </c>
      <c r="AD25" s="120">
        <f t="shared" si="2"/>
        <v>880909264.55882239</v>
      </c>
      <c r="AE25" s="121">
        <f t="shared" si="3"/>
        <v>306372728.18872941</v>
      </c>
      <c r="AF25" s="122">
        <f t="shared" si="4"/>
        <v>1187281992.7475519</v>
      </c>
      <c r="AG25" s="123">
        <f t="shared" si="5"/>
        <v>2.1334044537007994E-2</v>
      </c>
      <c r="AH25" s="124">
        <f t="shared" si="6"/>
        <v>7.4197987137488517E-3</v>
      </c>
      <c r="AI25" s="125">
        <f t="shared" si="7"/>
        <v>2.8753843250756847E-2</v>
      </c>
      <c r="AJ25" s="139">
        <v>55277.940798118878</v>
      </c>
      <c r="AK25" s="140">
        <v>19225.196296983519</v>
      </c>
      <c r="AL25" s="140">
        <f t="shared" si="8"/>
        <v>74503.1370951024</v>
      </c>
      <c r="AM25" s="131">
        <f t="shared" si="22"/>
        <v>0.25804546018569363</v>
      </c>
      <c r="AN25" s="129">
        <f t="shared" si="9"/>
        <v>0.74195453981430637</v>
      </c>
      <c r="AO25" s="130">
        <f t="shared" si="10"/>
        <v>0.25804546018569358</v>
      </c>
      <c r="AP25" s="19" t="s">
        <v>57</v>
      </c>
      <c r="AQ25" s="20" t="s">
        <v>303</v>
      </c>
      <c r="AR25" s="20" t="s">
        <v>304</v>
      </c>
      <c r="AS25" s="20" t="s">
        <v>305</v>
      </c>
      <c r="AT25" s="21" t="s">
        <v>247</v>
      </c>
      <c r="AU25" s="22" t="s">
        <v>248</v>
      </c>
      <c r="AV25" s="15"/>
      <c r="AW25" s="15"/>
      <c r="AX25" s="15"/>
      <c r="AY25" s="35"/>
      <c r="AZ25" s="125"/>
      <c r="BA25" s="15"/>
      <c r="BB25" s="136"/>
      <c r="BC25" s="131"/>
      <c r="BD25" s="15"/>
      <c r="BE25" s="136"/>
      <c r="BF25" s="18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</row>
    <row r="26" spans="1:71" ht="14.5" x14ac:dyDescent="0.35">
      <c r="A26" s="7">
        <v>25</v>
      </c>
      <c r="B26" s="23" t="s">
        <v>259</v>
      </c>
      <c r="C26" s="132">
        <v>8.5</v>
      </c>
      <c r="D26" s="132">
        <v>8.9092777969224297</v>
      </c>
      <c r="E26" s="132">
        <v>7.9848997479168702</v>
      </c>
      <c r="F26" s="133">
        <v>9.8336558459279892</v>
      </c>
      <c r="G26" s="23">
        <v>5.9549349313017199</v>
      </c>
      <c r="H26" s="132">
        <v>3.5962259798697001</v>
      </c>
      <c r="I26" s="134">
        <v>8.5</v>
      </c>
      <c r="J26" s="135">
        <v>5583911</v>
      </c>
      <c r="K26" s="134">
        <v>2023</v>
      </c>
      <c r="L26" s="136">
        <v>295532341254.90698</v>
      </c>
      <c r="M26" s="132">
        <v>2023</v>
      </c>
      <c r="N26" s="136">
        <v>52925.689763842398</v>
      </c>
      <c r="O26" s="133">
        <v>2023</v>
      </c>
      <c r="P26" s="136">
        <v>297225476513.64502</v>
      </c>
      <c r="Q26" s="132">
        <v>2023</v>
      </c>
      <c r="R26" s="132">
        <v>53230</v>
      </c>
      <c r="S26" s="134">
        <v>2023</v>
      </c>
      <c r="T26" s="17">
        <v>27.7</v>
      </c>
      <c r="U26" s="133">
        <v>2021</v>
      </c>
      <c r="V26" s="23">
        <v>6.2506432215476302</v>
      </c>
      <c r="W26" s="134">
        <v>2023</v>
      </c>
      <c r="X26" s="143">
        <v>22.7</v>
      </c>
      <c r="Y26" s="144">
        <v>2022</v>
      </c>
      <c r="Z26" s="135">
        <f t="shared" ref="Z26:AB26" si="37">(AJ26*40)* 48</f>
        <v>638435072.00985444</v>
      </c>
      <c r="AA26" s="135">
        <f t="shared" si="37"/>
        <v>385555311.50361979</v>
      </c>
      <c r="AB26" s="138">
        <f t="shared" si="37"/>
        <v>1023990383.5134742</v>
      </c>
      <c r="AC26" s="18">
        <f t="shared" si="1"/>
        <v>69.04753881349825</v>
      </c>
      <c r="AD26" s="120">
        <f t="shared" si="2"/>
        <v>14492476134.623695</v>
      </c>
      <c r="AE26" s="121">
        <f t="shared" si="3"/>
        <v>8752105571.1321697</v>
      </c>
      <c r="AF26" s="122">
        <f t="shared" si="4"/>
        <v>23244581705.755867</v>
      </c>
      <c r="AG26" s="123">
        <f t="shared" si="5"/>
        <v>4.9038545402797146E-2</v>
      </c>
      <c r="AH26" s="124">
        <f t="shared" si="6"/>
        <v>2.9614713347339446E-2</v>
      </c>
      <c r="AI26" s="125">
        <f t="shared" si="7"/>
        <v>7.8653258750136595E-2</v>
      </c>
      <c r="AJ26" s="139">
        <v>332518.26667179918</v>
      </c>
      <c r="AK26" s="140">
        <v>200810.05807480199</v>
      </c>
      <c r="AL26" s="140">
        <f t="shared" si="8"/>
        <v>533328.32474660117</v>
      </c>
      <c r="AM26" s="131">
        <f t="shared" si="22"/>
        <v>0.37652239484976219</v>
      </c>
      <c r="AN26" s="129">
        <f t="shared" si="9"/>
        <v>0.62347760515023776</v>
      </c>
      <c r="AO26" s="130">
        <f t="shared" si="10"/>
        <v>0.37652239484976224</v>
      </c>
      <c r="AP26" s="19" t="s">
        <v>57</v>
      </c>
      <c r="AQ26" s="20" t="s">
        <v>260</v>
      </c>
      <c r="AR26" s="20" t="s">
        <v>261</v>
      </c>
      <c r="AS26" s="20" t="s">
        <v>262</v>
      </c>
      <c r="AT26" s="21" t="s">
        <v>247</v>
      </c>
      <c r="AU26" s="22" t="s">
        <v>248</v>
      </c>
      <c r="AV26" s="15"/>
      <c r="AW26" s="15"/>
      <c r="AX26" s="15"/>
      <c r="AY26" s="136">
        <v>23400.7278817691</v>
      </c>
      <c r="AZ26" s="125">
        <v>5.5755710025425113E-2</v>
      </c>
      <c r="BA26" s="15"/>
      <c r="BB26" s="136">
        <v>23400.7278817691</v>
      </c>
      <c r="BC26" s="131">
        <v>0.39972344580083458</v>
      </c>
      <c r="BD26" s="15"/>
      <c r="BE26" s="136">
        <v>23400.7278817691</v>
      </c>
      <c r="BF26" s="18">
        <v>76.526610756884153</v>
      </c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</row>
    <row r="27" spans="1:71" ht="14.5" x14ac:dyDescent="0.35">
      <c r="A27" s="7">
        <v>26</v>
      </c>
      <c r="B27" s="23" t="s">
        <v>293</v>
      </c>
      <c r="C27" s="132">
        <v>11</v>
      </c>
      <c r="D27" s="132">
        <v>10.471109642563601</v>
      </c>
      <c r="E27" s="132">
        <v>9.6017303020945004</v>
      </c>
      <c r="F27" s="133">
        <v>11.340488983032699</v>
      </c>
      <c r="G27" s="23">
        <v>7.1099802393626303</v>
      </c>
      <c r="H27" s="132">
        <v>3.5550129534856301</v>
      </c>
      <c r="I27" s="134">
        <v>11</v>
      </c>
      <c r="J27" s="135">
        <v>68287487</v>
      </c>
      <c r="K27" s="134">
        <v>2023</v>
      </c>
      <c r="L27" s="136">
        <v>3051831611384.7598</v>
      </c>
      <c r="M27" s="132">
        <v>2023</v>
      </c>
      <c r="N27" s="136">
        <v>44690.934539511698</v>
      </c>
      <c r="O27" s="133">
        <v>2023</v>
      </c>
      <c r="P27" s="136">
        <v>3085396612969.7002</v>
      </c>
      <c r="Q27" s="132">
        <v>2023</v>
      </c>
      <c r="R27" s="132">
        <v>45180</v>
      </c>
      <c r="S27" s="134">
        <v>2023</v>
      </c>
      <c r="T27" s="17">
        <v>31.5</v>
      </c>
      <c r="U27" s="133">
        <v>2021</v>
      </c>
      <c r="V27" s="23">
        <v>4.8783572650844098</v>
      </c>
      <c r="W27" s="134">
        <v>2023</v>
      </c>
      <c r="X27" s="137">
        <v>16.988</v>
      </c>
      <c r="Y27" s="133">
        <v>2020</v>
      </c>
      <c r="Z27" s="135">
        <f t="shared" ref="Z27:AB27" si="38">(AJ27*40)* 48</f>
        <v>9322035516.7820625</v>
      </c>
      <c r="AA27" s="135">
        <f t="shared" si="38"/>
        <v>4661047696.2428436</v>
      </c>
      <c r="AB27" s="138">
        <f t="shared" si="38"/>
        <v>13983083213.02491</v>
      </c>
      <c r="AC27" s="18">
        <f t="shared" si="1"/>
        <v>68.256248706924055</v>
      </c>
      <c r="AD27" s="120">
        <f t="shared" si="2"/>
        <v>158362739359.09369</v>
      </c>
      <c r="AE27" s="121">
        <f t="shared" si="3"/>
        <v>79181878263.773422</v>
      </c>
      <c r="AF27" s="122">
        <f t="shared" si="4"/>
        <v>237544617622.86713</v>
      </c>
      <c r="AG27" s="123">
        <f t="shared" si="5"/>
        <v>5.1891047582155771E-2</v>
      </c>
      <c r="AH27" s="124">
        <f t="shared" si="6"/>
        <v>2.5945690439927279E-2</v>
      </c>
      <c r="AI27" s="125">
        <f t="shared" si="7"/>
        <v>7.7836738022083046E-2</v>
      </c>
      <c r="AJ27" s="139">
        <v>4855226.8316573249</v>
      </c>
      <c r="AK27" s="140">
        <v>2427629.0084598148</v>
      </c>
      <c r="AL27" s="140">
        <f t="shared" si="8"/>
        <v>7282855.8401171397</v>
      </c>
      <c r="AM27" s="131">
        <f t="shared" si="22"/>
        <v>0.33333476067003515</v>
      </c>
      <c r="AN27" s="129">
        <f t="shared" si="9"/>
        <v>0.6666652393299648</v>
      </c>
      <c r="AO27" s="130">
        <f t="shared" si="10"/>
        <v>0.3333347606700352</v>
      </c>
      <c r="AP27" s="19" t="s">
        <v>57</v>
      </c>
      <c r="AQ27" s="20" t="s">
        <v>294</v>
      </c>
      <c r="AR27" s="20" t="s">
        <v>295</v>
      </c>
      <c r="AS27" s="20" t="s">
        <v>296</v>
      </c>
      <c r="AT27" s="21" t="s">
        <v>247</v>
      </c>
      <c r="AU27" s="22" t="s">
        <v>248</v>
      </c>
      <c r="AV27" s="15"/>
      <c r="AW27" s="15"/>
      <c r="AX27" s="15"/>
      <c r="AY27" s="136">
        <v>64572.005955885397</v>
      </c>
      <c r="AZ27" s="125">
        <v>9.5175761680595133E-2</v>
      </c>
      <c r="BB27" s="136">
        <v>64572.005955885397</v>
      </c>
      <c r="BC27" s="131">
        <v>0.37173068710896989</v>
      </c>
      <c r="BE27" s="136">
        <v>64572.005955885397</v>
      </c>
      <c r="BF27" s="18">
        <v>107.25546998753779</v>
      </c>
    </row>
    <row r="28" spans="1:71" ht="14.5" x14ac:dyDescent="0.35">
      <c r="A28" s="7">
        <v>27</v>
      </c>
      <c r="B28" s="16" t="s">
        <v>167</v>
      </c>
      <c r="C28" s="132"/>
      <c r="D28" s="132">
        <v>3.29111830241491</v>
      </c>
      <c r="E28" s="132">
        <v>2.2834546651788101</v>
      </c>
      <c r="F28" s="133">
        <v>4.2987819396510201</v>
      </c>
      <c r="G28" s="23">
        <v>2.2703648069695399</v>
      </c>
      <c r="H28" s="132">
        <v>1.19535128161031</v>
      </c>
      <c r="I28" s="134">
        <v>3.29111830241491</v>
      </c>
      <c r="J28" s="135">
        <v>3715483</v>
      </c>
      <c r="K28" s="134">
        <v>2023</v>
      </c>
      <c r="L28" s="136">
        <v>30777833585.444099</v>
      </c>
      <c r="M28" s="132">
        <v>2023</v>
      </c>
      <c r="N28" s="136">
        <v>8283.6696024296398</v>
      </c>
      <c r="O28" s="133">
        <v>2023</v>
      </c>
      <c r="P28" s="136">
        <v>24935292680.6087</v>
      </c>
      <c r="Q28" s="132">
        <v>2023</v>
      </c>
      <c r="R28" s="132">
        <v>6710</v>
      </c>
      <c r="S28" s="134">
        <v>2023</v>
      </c>
      <c r="T28" s="17">
        <v>33.5</v>
      </c>
      <c r="U28" s="133">
        <v>2022</v>
      </c>
      <c r="V28" s="23">
        <v>2.4877605657871502</v>
      </c>
      <c r="W28" s="134">
        <v>2023</v>
      </c>
      <c r="X28" s="141">
        <v>1.5979749999999999</v>
      </c>
      <c r="Y28" s="142">
        <v>2022</v>
      </c>
      <c r="Z28" s="135">
        <f t="shared" ref="Z28:AB28" si="39">(AJ28*40)* 48</f>
        <v>161961635.40659726</v>
      </c>
      <c r="AA28" s="135">
        <f t="shared" si="39"/>
        <v>85273101.424345329</v>
      </c>
      <c r="AB28" s="138">
        <f t="shared" si="39"/>
        <v>247234736.83094257</v>
      </c>
      <c r="AC28" s="18">
        <f t="shared" si="1"/>
        <v>22.950744606917951</v>
      </c>
      <c r="AD28" s="120">
        <f t="shared" si="2"/>
        <v>258810644.33885723</v>
      </c>
      <c r="AE28" s="121">
        <f t="shared" si="3"/>
        <v>136264284.24856821</v>
      </c>
      <c r="AF28" s="122">
        <f t="shared" si="4"/>
        <v>395074928.58742547</v>
      </c>
      <c r="AG28" s="123">
        <f t="shared" si="5"/>
        <v>8.4089948573007334E-3</v>
      </c>
      <c r="AH28" s="124">
        <f t="shared" si="6"/>
        <v>4.4273513881435854E-3</v>
      </c>
      <c r="AI28" s="125">
        <f t="shared" si="7"/>
        <v>1.283634624544432E-2</v>
      </c>
      <c r="AJ28" s="139">
        <v>84355.018440936066</v>
      </c>
      <c r="AK28" s="140">
        <v>44413.073658513189</v>
      </c>
      <c r="AL28" s="140">
        <f t="shared" si="8"/>
        <v>128768.09209944925</v>
      </c>
      <c r="AM28" s="128">
        <f>AJ28/AL28</f>
        <v>0.65509255488376428</v>
      </c>
      <c r="AN28" s="129">
        <f t="shared" si="9"/>
        <v>0.65509255488376428</v>
      </c>
      <c r="AO28" s="130">
        <f t="shared" si="10"/>
        <v>0.34490744511623583</v>
      </c>
      <c r="AP28" s="19" t="s">
        <v>57</v>
      </c>
      <c r="AQ28" s="20" t="s">
        <v>168</v>
      </c>
      <c r="AR28" s="20" t="s">
        <v>169</v>
      </c>
      <c r="AS28" s="20" t="s">
        <v>170</v>
      </c>
      <c r="AT28" s="21" t="s">
        <v>152</v>
      </c>
      <c r="AU28" s="22" t="s">
        <v>60</v>
      </c>
      <c r="AV28" s="15"/>
      <c r="AW28" s="15"/>
      <c r="AX28" s="15"/>
      <c r="AY28" s="35"/>
      <c r="AZ28" s="125"/>
      <c r="BA28" s="15"/>
      <c r="BB28" s="136"/>
      <c r="BC28" s="131"/>
      <c r="BD28" s="15"/>
      <c r="BE28" s="136"/>
      <c r="BF28" s="18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</row>
    <row r="29" spans="1:71" ht="14.5" x14ac:dyDescent="0.35">
      <c r="A29" s="7">
        <v>28</v>
      </c>
      <c r="B29" s="23" t="s">
        <v>306</v>
      </c>
      <c r="C29" s="132">
        <v>10.4</v>
      </c>
      <c r="D29" s="132">
        <v>9.4139389555788</v>
      </c>
      <c r="E29" s="132">
        <v>8.0167963768411798</v>
      </c>
      <c r="F29" s="133">
        <v>10.811081534316401</v>
      </c>
      <c r="G29" s="23">
        <v>6.5692730316424202</v>
      </c>
      <c r="H29" s="132">
        <v>3.1082022986041302</v>
      </c>
      <c r="I29" s="134">
        <v>10.4</v>
      </c>
      <c r="J29" s="135">
        <v>83280000</v>
      </c>
      <c r="K29" s="134">
        <v>2023</v>
      </c>
      <c r="L29" s="136">
        <v>4525703903627.5303</v>
      </c>
      <c r="M29" s="132">
        <v>2023</v>
      </c>
      <c r="N29" s="136">
        <v>54343.226508495798</v>
      </c>
      <c r="O29" s="133">
        <v>2023</v>
      </c>
      <c r="P29" s="136">
        <v>4563533724153.9805</v>
      </c>
      <c r="Q29" s="132">
        <v>2023</v>
      </c>
      <c r="R29" s="132">
        <v>54800</v>
      </c>
      <c r="S29" s="134">
        <v>2023</v>
      </c>
      <c r="T29" s="17">
        <v>32.4</v>
      </c>
      <c r="U29" s="133">
        <v>2020</v>
      </c>
      <c r="V29" s="23">
        <v>5.9464366772582302</v>
      </c>
      <c r="W29" s="134">
        <v>2023</v>
      </c>
      <c r="X29" s="143">
        <v>23.2</v>
      </c>
      <c r="Y29" s="144">
        <v>2018</v>
      </c>
      <c r="Z29" s="135">
        <f t="shared" ref="Z29:AB29" si="40">(AJ29*40)* 48</f>
        <v>10504109915.04347</v>
      </c>
      <c r="AA29" s="135">
        <f t="shared" si="40"/>
        <v>4969940878.6128387</v>
      </c>
      <c r="AB29" s="138">
        <f t="shared" si="40"/>
        <v>15474050793.656307</v>
      </c>
      <c r="AC29" s="18">
        <f t="shared" si="1"/>
        <v>59.677484133199314</v>
      </c>
      <c r="AD29" s="120">
        <f t="shared" si="2"/>
        <v>243695350029.00851</v>
      </c>
      <c r="AE29" s="121">
        <f t="shared" si="3"/>
        <v>115302628383.81786</v>
      </c>
      <c r="AF29" s="122">
        <f t="shared" si="4"/>
        <v>358997978412.82635</v>
      </c>
      <c r="AG29" s="123">
        <f t="shared" si="5"/>
        <v>5.3846949605712624E-2</v>
      </c>
      <c r="AH29" s="124">
        <f t="shared" si="6"/>
        <v>2.5477280626202314E-2</v>
      </c>
      <c r="AI29" s="125">
        <f t="shared" si="7"/>
        <v>7.9324230231914941E-2</v>
      </c>
      <c r="AJ29" s="139">
        <v>5470890.5807518074</v>
      </c>
      <c r="AK29" s="140">
        <v>2588510.87427752</v>
      </c>
      <c r="AL29" s="140">
        <f t="shared" si="8"/>
        <v>8059401.4550293274</v>
      </c>
      <c r="AM29" s="131">
        <f t="shared" ref="AM29:AM38" si="41">AE29/(AD29+AE29)</f>
        <v>0.32117904644918832</v>
      </c>
      <c r="AN29" s="129">
        <f t="shared" si="9"/>
        <v>0.67882095355081173</v>
      </c>
      <c r="AO29" s="130">
        <f t="shared" si="10"/>
        <v>0.32117904644918827</v>
      </c>
      <c r="AP29" s="19" t="s">
        <v>57</v>
      </c>
      <c r="AQ29" s="20" t="s">
        <v>307</v>
      </c>
      <c r="AR29" s="20" t="s">
        <v>308</v>
      </c>
      <c r="AS29" s="20" t="s">
        <v>309</v>
      </c>
      <c r="AT29" s="21" t="s">
        <v>247</v>
      </c>
      <c r="AU29" s="22" t="s">
        <v>248</v>
      </c>
      <c r="AY29" s="136">
        <v>53431.1857063879</v>
      </c>
      <c r="AZ29" s="125">
        <v>0.11759822655925084</v>
      </c>
      <c r="BB29" s="136">
        <v>53431.1857063879</v>
      </c>
      <c r="BC29" s="131">
        <v>0.3215297832132995</v>
      </c>
      <c r="BE29" s="136">
        <v>53431.1857063879</v>
      </c>
      <c r="BF29" s="18">
        <v>75.539514581886337</v>
      </c>
    </row>
    <row r="30" spans="1:71" ht="14.5" x14ac:dyDescent="0.35">
      <c r="A30" s="7">
        <v>29</v>
      </c>
      <c r="B30" s="23" t="s">
        <v>321</v>
      </c>
      <c r="C30" s="132">
        <v>12.6</v>
      </c>
      <c r="D30" s="132">
        <v>9.9374538030218993</v>
      </c>
      <c r="E30" s="132">
        <v>5.1462326572860899</v>
      </c>
      <c r="F30" s="133">
        <v>14.7286749487577</v>
      </c>
      <c r="G30" s="23">
        <v>5.98553547514393</v>
      </c>
      <c r="H30" s="132">
        <v>3.9857609769210498</v>
      </c>
      <c r="I30" s="134">
        <v>12.6</v>
      </c>
      <c r="J30" s="135">
        <v>10405588</v>
      </c>
      <c r="K30" s="134">
        <v>2023</v>
      </c>
      <c r="L30" s="136">
        <v>243498333237.802</v>
      </c>
      <c r="M30" s="132">
        <v>2023</v>
      </c>
      <c r="N30" s="136">
        <v>23400.7278817691</v>
      </c>
      <c r="O30" s="133">
        <v>2023</v>
      </c>
      <c r="P30" s="136">
        <v>235041326482.61401</v>
      </c>
      <c r="Q30" s="132">
        <v>2023</v>
      </c>
      <c r="R30" s="132">
        <v>22590</v>
      </c>
      <c r="S30" s="134">
        <v>2023</v>
      </c>
      <c r="T30" s="17">
        <v>32.9</v>
      </c>
      <c r="U30" s="133">
        <v>2021</v>
      </c>
      <c r="V30" s="23">
        <v>3.4648012851340502</v>
      </c>
      <c r="W30" s="134">
        <v>2023</v>
      </c>
      <c r="X30" s="137">
        <v>6.8150000000000004</v>
      </c>
      <c r="Y30" s="133">
        <v>2020</v>
      </c>
      <c r="Z30" s="135">
        <f t="shared" ref="Z30:AB30" si="42">(AJ30*40)* 48</f>
        <v>1195833909.3836539</v>
      </c>
      <c r="AA30" s="135">
        <f t="shared" si="42"/>
        <v>796304382.57250464</v>
      </c>
      <c r="AB30" s="138">
        <f t="shared" si="42"/>
        <v>1992138291.9561586</v>
      </c>
      <c r="AC30" s="18">
        <f t="shared" si="1"/>
        <v>76.526610756884153</v>
      </c>
      <c r="AD30" s="120">
        <f t="shared" si="2"/>
        <v>8149608092.4496021</v>
      </c>
      <c r="AE30" s="121">
        <f t="shared" si="3"/>
        <v>5426814367.2316198</v>
      </c>
      <c r="AF30" s="122">
        <f t="shared" si="4"/>
        <v>13576422459.681221</v>
      </c>
      <c r="AG30" s="123">
        <f t="shared" si="5"/>
        <v>3.3468845490990051E-2</v>
      </c>
      <c r="AH30" s="124">
        <f t="shared" si="6"/>
        <v>2.2286864534435062E-2</v>
      </c>
      <c r="AI30" s="125">
        <f t="shared" si="7"/>
        <v>5.5755710025425113E-2</v>
      </c>
      <c r="AJ30" s="139">
        <v>622830.16113731975</v>
      </c>
      <c r="AK30" s="140">
        <v>414741.86592317949</v>
      </c>
      <c r="AL30" s="140">
        <f t="shared" si="8"/>
        <v>1037572.0270604992</v>
      </c>
      <c r="AM30" s="131">
        <f t="shared" si="41"/>
        <v>0.39972344580083458</v>
      </c>
      <c r="AN30" s="129">
        <f t="shared" si="9"/>
        <v>0.60027655419916548</v>
      </c>
      <c r="AO30" s="130">
        <f t="shared" si="10"/>
        <v>0.39972344580083458</v>
      </c>
      <c r="AP30" s="19" t="s">
        <v>57</v>
      </c>
      <c r="AQ30" s="20" t="s">
        <v>322</v>
      </c>
      <c r="AR30" s="20" t="s">
        <v>323</v>
      </c>
      <c r="AS30" s="20" t="s">
        <v>324</v>
      </c>
      <c r="AT30" s="21" t="s">
        <v>247</v>
      </c>
      <c r="AU30" s="22" t="s">
        <v>248</v>
      </c>
      <c r="AV30" s="15"/>
      <c r="AW30" s="15"/>
      <c r="AX30" s="15"/>
      <c r="AY30" s="136">
        <v>4876.3143270318797</v>
      </c>
      <c r="AZ30" s="125">
        <v>9.1976236532230696E-3</v>
      </c>
      <c r="BA30" s="15"/>
      <c r="BB30" s="136">
        <v>4876.3143270318797</v>
      </c>
      <c r="BC30" s="131">
        <v>0.36545054513327541</v>
      </c>
      <c r="BD30" s="15"/>
      <c r="BE30" s="136">
        <v>4876.3143270318797</v>
      </c>
      <c r="BF30" s="18">
        <v>15.289777177633788</v>
      </c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</row>
    <row r="31" spans="1:71" ht="14.5" x14ac:dyDescent="0.35">
      <c r="A31" s="7">
        <v>30</v>
      </c>
      <c r="B31" s="23" t="s">
        <v>275</v>
      </c>
      <c r="C31" s="132">
        <v>3.7</v>
      </c>
      <c r="D31" s="132">
        <v>3.7830738698045598</v>
      </c>
      <c r="E31" s="132">
        <v>2.9062933796557702</v>
      </c>
      <c r="F31" s="133">
        <v>4.65985435995335</v>
      </c>
      <c r="G31" s="23">
        <v>2.9939583796712199</v>
      </c>
      <c r="H31" s="132">
        <v>0.70877650814047799</v>
      </c>
      <c r="I31" s="134">
        <v>3.7</v>
      </c>
      <c r="J31" s="135">
        <v>9592186</v>
      </c>
      <c r="K31" s="134">
        <v>2023</v>
      </c>
      <c r="L31" s="136">
        <v>212388906458.724</v>
      </c>
      <c r="M31" s="132">
        <v>2023</v>
      </c>
      <c r="N31" s="136">
        <v>22141.866979927599</v>
      </c>
      <c r="O31" s="133">
        <v>2023</v>
      </c>
      <c r="P31" s="136">
        <v>188645613191.77301</v>
      </c>
      <c r="Q31" s="132">
        <v>2023</v>
      </c>
      <c r="R31" s="132">
        <v>19670</v>
      </c>
      <c r="S31" s="134">
        <v>2023</v>
      </c>
      <c r="T31" s="17">
        <v>29.2</v>
      </c>
      <c r="U31" s="133">
        <v>2021</v>
      </c>
      <c r="V31" s="23">
        <v>17.124965967873699</v>
      </c>
      <c r="W31" s="134">
        <v>2023</v>
      </c>
      <c r="X31" s="143">
        <v>8.6</v>
      </c>
      <c r="Y31" s="144">
        <v>2022</v>
      </c>
      <c r="Z31" s="135">
        <f t="shared" ref="Z31:AB31" si="43">(AJ31*40)* 48</f>
        <v>551397228.55804729</v>
      </c>
      <c r="AA31" s="135">
        <f t="shared" si="43"/>
        <v>130535349.09146839</v>
      </c>
      <c r="AB31" s="138">
        <f t="shared" si="43"/>
        <v>681932577.64951563</v>
      </c>
      <c r="AC31" s="18">
        <f t="shared" si="1"/>
        <v>13.608508956297177</v>
      </c>
      <c r="AD31" s="120">
        <f t="shared" si="2"/>
        <v>4742016165.5992069</v>
      </c>
      <c r="AE31" s="121">
        <f t="shared" si="3"/>
        <v>1122604002.1866281</v>
      </c>
      <c r="AF31" s="122">
        <f t="shared" si="4"/>
        <v>5864620167.7858353</v>
      </c>
      <c r="AG31" s="123">
        <f t="shared" si="5"/>
        <v>2.2327042615668716E-2</v>
      </c>
      <c r="AH31" s="124">
        <f t="shared" si="6"/>
        <v>5.2856056415771261E-3</v>
      </c>
      <c r="AI31" s="125">
        <f t="shared" si="7"/>
        <v>2.7612648257245843E-2</v>
      </c>
      <c r="AJ31" s="139">
        <v>287186.05654064962</v>
      </c>
      <c r="AK31" s="140">
        <v>67987.160985139795</v>
      </c>
      <c r="AL31" s="140">
        <f t="shared" si="8"/>
        <v>355173.2175257894</v>
      </c>
      <c r="AM31" s="131">
        <f t="shared" si="41"/>
        <v>0.1914197288262682</v>
      </c>
      <c r="AN31" s="129">
        <f t="shared" si="9"/>
        <v>0.80858027117373177</v>
      </c>
      <c r="AO31" s="130">
        <f t="shared" si="10"/>
        <v>0.19141972882626826</v>
      </c>
      <c r="AP31" s="19" t="s">
        <v>57</v>
      </c>
      <c r="AQ31" s="20" t="s">
        <v>276</v>
      </c>
      <c r="AR31" s="20" t="s">
        <v>277</v>
      </c>
      <c r="AS31" s="20" t="s">
        <v>278</v>
      </c>
      <c r="AT31" s="21" t="s">
        <v>247</v>
      </c>
      <c r="AU31" s="22" t="s">
        <v>248</v>
      </c>
      <c r="AV31" s="15"/>
      <c r="AW31" s="15"/>
      <c r="AX31" s="15"/>
      <c r="AY31" s="136">
        <v>3686.27996490544</v>
      </c>
      <c r="AZ31" s="125">
        <v>4.5197614327261146E-2</v>
      </c>
      <c r="BA31" s="15"/>
      <c r="BB31" s="136">
        <v>3686.27996490544</v>
      </c>
      <c r="BC31" s="131">
        <v>0.44264102756476353</v>
      </c>
      <c r="BD31" s="15"/>
      <c r="BE31" s="136">
        <v>3686.27996490544</v>
      </c>
      <c r="BF31" s="18">
        <v>21.761254314297219</v>
      </c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</row>
    <row r="32" spans="1:71" ht="14.5" x14ac:dyDescent="0.35">
      <c r="A32" s="7">
        <v>31</v>
      </c>
      <c r="B32" s="23" t="s">
        <v>281</v>
      </c>
      <c r="C32" s="132">
        <v>13.1</v>
      </c>
      <c r="D32" s="132">
        <v>11.661462813445</v>
      </c>
      <c r="E32" s="132">
        <v>9.1429775327392893</v>
      </c>
      <c r="F32" s="133">
        <v>14.179948094150699</v>
      </c>
      <c r="G32" s="23">
        <v>8.7567006763958997</v>
      </c>
      <c r="H32" s="132">
        <v>3.18993618882824</v>
      </c>
      <c r="I32" s="134">
        <v>13.1</v>
      </c>
      <c r="J32" s="135">
        <v>5307600</v>
      </c>
      <c r="K32" s="134">
        <v>2023</v>
      </c>
      <c r="L32" s="136">
        <v>551394889339.77795</v>
      </c>
      <c r="M32" s="132">
        <v>2023</v>
      </c>
      <c r="N32" s="136">
        <v>103887.800388081</v>
      </c>
      <c r="O32" s="133">
        <v>2023</v>
      </c>
      <c r="P32" s="136">
        <v>419126446071.14001</v>
      </c>
      <c r="Q32" s="132">
        <v>2023</v>
      </c>
      <c r="R32" s="132">
        <v>78970</v>
      </c>
      <c r="S32" s="134">
        <v>2023</v>
      </c>
      <c r="T32" s="17">
        <v>30.1</v>
      </c>
      <c r="U32" s="133">
        <v>2021</v>
      </c>
      <c r="V32" s="23">
        <v>6.2994248741912502</v>
      </c>
      <c r="W32" s="134">
        <v>2023</v>
      </c>
      <c r="X32" s="143">
        <v>20.2</v>
      </c>
      <c r="Y32" s="144">
        <v>2018</v>
      </c>
      <c r="Z32" s="135">
        <f t="shared" ref="Z32:AB32" si="44">(AJ32*40)* 48</f>
        <v>892359638.5927465</v>
      </c>
      <c r="AA32" s="135">
        <f t="shared" si="44"/>
        <v>325073382.06383562</v>
      </c>
      <c r="AB32" s="138">
        <f t="shared" si="44"/>
        <v>1217433020.6565821</v>
      </c>
      <c r="AC32" s="18">
        <f t="shared" si="1"/>
        <v>61.246774825502229</v>
      </c>
      <c r="AD32" s="120">
        <f t="shared" si="2"/>
        <v>18025664699.573479</v>
      </c>
      <c r="AE32" s="121">
        <f t="shared" si="3"/>
        <v>6566482317.6894789</v>
      </c>
      <c r="AF32" s="122">
        <f t="shared" si="4"/>
        <v>24592147017.262959</v>
      </c>
      <c r="AG32" s="123">
        <f t="shared" si="5"/>
        <v>3.2691026065107015E-2</v>
      </c>
      <c r="AH32" s="124">
        <f t="shared" si="6"/>
        <v>1.1908855966278484E-2</v>
      </c>
      <c r="AI32" s="125">
        <f t="shared" si="7"/>
        <v>4.4599882031385499E-2</v>
      </c>
      <c r="AJ32" s="139">
        <v>464770.64510038879</v>
      </c>
      <c r="AK32" s="140">
        <v>169309.0531582477</v>
      </c>
      <c r="AL32" s="140">
        <f t="shared" si="8"/>
        <v>634079.69825863652</v>
      </c>
      <c r="AM32" s="131">
        <f t="shared" si="41"/>
        <v>0.2670154140295275</v>
      </c>
      <c r="AN32" s="129">
        <f t="shared" si="9"/>
        <v>0.73298458597047245</v>
      </c>
      <c r="AO32" s="130">
        <f t="shared" si="10"/>
        <v>0.2670154140295275</v>
      </c>
      <c r="AP32" s="19" t="s">
        <v>57</v>
      </c>
      <c r="AQ32" s="20" t="s">
        <v>282</v>
      </c>
      <c r="AR32" s="20" t="s">
        <v>283</v>
      </c>
      <c r="AS32" s="20" t="s">
        <v>284</v>
      </c>
      <c r="AT32" s="21" t="s">
        <v>247</v>
      </c>
      <c r="AU32" s="22" t="s">
        <v>248</v>
      </c>
      <c r="AV32" s="15"/>
      <c r="AW32" s="15"/>
      <c r="AX32" s="15"/>
      <c r="AY32" s="136">
        <v>17067.813615060099</v>
      </c>
      <c r="AZ32" s="125">
        <v>3.6510747737659631E-2</v>
      </c>
      <c r="BA32" s="15"/>
      <c r="BB32" s="136">
        <v>17067.813615060099</v>
      </c>
      <c r="BC32" s="131">
        <v>0.43191527468033175</v>
      </c>
      <c r="BD32" s="15"/>
      <c r="BE32" s="136">
        <v>17067.813615060099</v>
      </c>
      <c r="BF32" s="18">
        <v>43.022975385715974</v>
      </c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</row>
    <row r="33" spans="1:71" ht="14.5" x14ac:dyDescent="0.35">
      <c r="A33" s="7">
        <v>32</v>
      </c>
      <c r="B33" s="23" t="s">
        <v>339</v>
      </c>
      <c r="C33" s="132">
        <v>9.4</v>
      </c>
      <c r="D33" s="132">
        <v>9.0050811022589397</v>
      </c>
      <c r="E33" s="132">
        <v>7.8711576065056503</v>
      </c>
      <c r="F33" s="133">
        <v>10.1390045980122</v>
      </c>
      <c r="G33" s="23">
        <v>7.0527332023417797</v>
      </c>
      <c r="H33" s="132">
        <v>2.7633554304499</v>
      </c>
      <c r="I33" s="134">
        <v>9.4</v>
      </c>
      <c r="J33" s="135">
        <v>58993475</v>
      </c>
      <c r="K33" s="134">
        <v>2023</v>
      </c>
      <c r="L33" s="136">
        <v>2300941152991.8101</v>
      </c>
      <c r="M33" s="132">
        <v>2023</v>
      </c>
      <c r="N33" s="136">
        <v>39003.316095412301</v>
      </c>
      <c r="O33" s="133">
        <v>2023</v>
      </c>
      <c r="P33" s="136">
        <v>2237146465042.3799</v>
      </c>
      <c r="Q33" s="132">
        <v>2023</v>
      </c>
      <c r="R33" s="132">
        <v>37920</v>
      </c>
      <c r="S33" s="134">
        <v>2023</v>
      </c>
      <c r="T33" s="17">
        <v>34.799999999999997</v>
      </c>
      <c r="U33" s="133">
        <v>2021</v>
      </c>
      <c r="V33" s="23">
        <v>5.6221944219590103</v>
      </c>
      <c r="W33" s="134">
        <v>2023</v>
      </c>
      <c r="X33" s="137">
        <v>12.090999999999999</v>
      </c>
      <c r="Y33" s="133">
        <v>2020</v>
      </c>
      <c r="Z33" s="135">
        <f t="shared" ref="Z33:AB33" si="45">(AJ33*40)* 48</f>
        <v>7988452605.1971788</v>
      </c>
      <c r="AA33" s="135">
        <f t="shared" si="45"/>
        <v>3129982838.4453197</v>
      </c>
      <c r="AB33" s="138">
        <f t="shared" si="45"/>
        <v>11118435443.642498</v>
      </c>
      <c r="AC33" s="18">
        <f t="shared" si="1"/>
        <v>53.056424264638075</v>
      </c>
      <c r="AD33" s="120">
        <f t="shared" si="2"/>
        <v>96588380449.439087</v>
      </c>
      <c r="AE33" s="121">
        <f t="shared" si="3"/>
        <v>37844622499.642357</v>
      </c>
      <c r="AF33" s="122">
        <f t="shared" si="4"/>
        <v>134433002949.08145</v>
      </c>
      <c r="AG33" s="123">
        <f t="shared" si="5"/>
        <v>4.1977770845573158E-2</v>
      </c>
      <c r="AH33" s="124">
        <f t="shared" si="6"/>
        <v>1.6447453447661929E-2</v>
      </c>
      <c r="AI33" s="125">
        <f t="shared" si="7"/>
        <v>5.8425224293235087E-2</v>
      </c>
      <c r="AJ33" s="139">
        <v>4160652.3985401969</v>
      </c>
      <c r="AK33" s="140">
        <v>1630199.3950236039</v>
      </c>
      <c r="AL33" s="140">
        <f t="shared" si="8"/>
        <v>5790851.7935638009</v>
      </c>
      <c r="AM33" s="131">
        <f t="shared" si="41"/>
        <v>0.28151288500173266</v>
      </c>
      <c r="AN33" s="129">
        <f t="shared" si="9"/>
        <v>0.71848711499826723</v>
      </c>
      <c r="AO33" s="130">
        <f t="shared" si="10"/>
        <v>0.28151288500173272</v>
      </c>
      <c r="AP33" s="19" t="s">
        <v>57</v>
      </c>
      <c r="AQ33" s="20" t="s">
        <v>340</v>
      </c>
      <c r="AR33" s="20" t="s">
        <v>341</v>
      </c>
      <c r="AS33" s="20" t="s">
        <v>342</v>
      </c>
      <c r="AT33" s="21" t="s">
        <v>247</v>
      </c>
      <c r="AU33" s="22" t="s">
        <v>248</v>
      </c>
      <c r="AV33" s="15"/>
      <c r="AW33" s="15"/>
      <c r="AX33" s="15"/>
      <c r="AY33" s="136">
        <v>2480.7920872162099</v>
      </c>
      <c r="AZ33" s="125">
        <v>1.977999289090869E-2</v>
      </c>
      <c r="BA33" s="15"/>
      <c r="BB33" s="136">
        <v>2480.7920872162099</v>
      </c>
      <c r="BC33" s="131">
        <v>0.45879271358582707</v>
      </c>
      <c r="BD33" s="15"/>
      <c r="BE33" s="136">
        <v>2480.7920872162099</v>
      </c>
      <c r="BF33" s="18">
        <v>22.740385177773501</v>
      </c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</row>
    <row r="34" spans="1:71" ht="14.5" x14ac:dyDescent="0.35">
      <c r="A34" s="7">
        <v>33</v>
      </c>
      <c r="B34" s="16" t="s">
        <v>61</v>
      </c>
      <c r="C34" s="132"/>
      <c r="D34" s="132">
        <v>2.7089670208652001</v>
      </c>
      <c r="E34" s="132">
        <v>1.8818048102892599</v>
      </c>
      <c r="F34" s="133">
        <v>3.5361292314411501</v>
      </c>
      <c r="G34" s="23">
        <v>1.68946824550652</v>
      </c>
      <c r="H34" s="132">
        <v>0.86444509773283995</v>
      </c>
      <c r="I34" s="134">
        <v>2.7089670208652001</v>
      </c>
      <c r="J34" s="135">
        <v>7099750</v>
      </c>
      <c r="K34" s="134">
        <v>2023</v>
      </c>
      <c r="L34" s="136">
        <v>13987627908.8381</v>
      </c>
      <c r="M34" s="132">
        <v>2023</v>
      </c>
      <c r="N34" s="136">
        <v>1970.15780961839</v>
      </c>
      <c r="O34" s="133">
        <v>2023</v>
      </c>
      <c r="P34" s="136">
        <v>12517407824.441999</v>
      </c>
      <c r="Q34" s="132">
        <v>2023</v>
      </c>
      <c r="R34" s="132">
        <v>1760</v>
      </c>
      <c r="S34" s="134">
        <v>2023</v>
      </c>
      <c r="T34" s="17">
        <v>26.4</v>
      </c>
      <c r="U34" s="133">
        <v>2022</v>
      </c>
      <c r="V34" s="23">
        <v>10.753277041674201</v>
      </c>
      <c r="W34" s="134">
        <v>2023</v>
      </c>
      <c r="X34" s="141">
        <v>2.056975</v>
      </c>
      <c r="Y34" s="142">
        <v>2022</v>
      </c>
      <c r="Z34" s="135">
        <f t="shared" ref="Z34:AB34" si="46">(AJ34*40)* 48</f>
        <v>230300201.7798703</v>
      </c>
      <c r="AA34" s="135">
        <f t="shared" si="46"/>
        <v>117837006.38647163</v>
      </c>
      <c r="AB34" s="138">
        <f t="shared" si="46"/>
        <v>348137208.1663419</v>
      </c>
      <c r="AC34" s="18">
        <f t="shared" si="1"/>
        <v>16.597345876470527</v>
      </c>
      <c r="AD34" s="120">
        <f t="shared" si="2"/>
        <v>473721757.55614871</v>
      </c>
      <c r="AE34" s="121">
        <f t="shared" si="3"/>
        <v>242387776.21181247</v>
      </c>
      <c r="AF34" s="122">
        <f t="shared" si="4"/>
        <v>716109533.76796114</v>
      </c>
      <c r="AG34" s="123">
        <f t="shared" si="5"/>
        <v>3.3867197543682656E-2</v>
      </c>
      <c r="AH34" s="124">
        <f t="shared" si="6"/>
        <v>1.7328726342417177E-2</v>
      </c>
      <c r="AI34" s="125">
        <f t="shared" si="7"/>
        <v>5.1195923886099837E-2</v>
      </c>
      <c r="AJ34" s="139">
        <v>119948.0217603491</v>
      </c>
      <c r="AK34" s="140">
        <v>61373.440826287311</v>
      </c>
      <c r="AL34" s="140">
        <f t="shared" si="8"/>
        <v>181321.46258663642</v>
      </c>
      <c r="AM34" s="131">
        <f t="shared" si="41"/>
        <v>0.33847863320075927</v>
      </c>
      <c r="AN34" s="129">
        <f t="shared" si="9"/>
        <v>0.66152136679924067</v>
      </c>
      <c r="AO34" s="130">
        <f t="shared" si="10"/>
        <v>0.33847863320075933</v>
      </c>
      <c r="AP34" s="19" t="s">
        <v>57</v>
      </c>
      <c r="AQ34" s="20" t="s">
        <v>62</v>
      </c>
      <c r="AR34" s="20">
        <v>74.605699999999999</v>
      </c>
      <c r="AS34" s="20">
        <v>42.885100000000001</v>
      </c>
      <c r="AT34" s="21" t="s">
        <v>59</v>
      </c>
      <c r="AU34" s="22" t="s">
        <v>13</v>
      </c>
      <c r="AV34" s="15"/>
      <c r="AW34" s="15"/>
      <c r="AX34" s="15"/>
      <c r="AY34" s="136">
        <v>1394.37330217623</v>
      </c>
      <c r="AZ34" s="125">
        <v>4.5141417743090537E-2</v>
      </c>
      <c r="BA34" s="15"/>
      <c r="BB34" s="136">
        <v>1394.37330217623</v>
      </c>
      <c r="BC34" s="131">
        <v>0.38322087673592176</v>
      </c>
      <c r="BD34" s="15"/>
      <c r="BE34" s="136">
        <v>1394.37330217623</v>
      </c>
      <c r="BF34" s="18">
        <v>20.219153529419334</v>
      </c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</row>
    <row r="35" spans="1:71" ht="14.5" x14ac:dyDescent="0.35">
      <c r="A35" s="7">
        <v>34</v>
      </c>
      <c r="B35" s="23" t="s">
        <v>335</v>
      </c>
      <c r="C35" s="132">
        <v>5.5</v>
      </c>
      <c r="D35" s="132">
        <v>4.7833032057985498</v>
      </c>
      <c r="E35" s="132">
        <v>3.6737963895469501</v>
      </c>
      <c r="F35" s="133">
        <v>5.8928100220501403</v>
      </c>
      <c r="G35" s="23">
        <v>3.37536164838474</v>
      </c>
      <c r="H35" s="132">
        <v>1.4394535288267201</v>
      </c>
      <c r="I35" s="134">
        <v>5.5</v>
      </c>
      <c r="J35" s="135">
        <v>1877445</v>
      </c>
      <c r="K35" s="134">
        <v>2023</v>
      </c>
      <c r="L35" s="136">
        <v>42247850064.512497</v>
      </c>
      <c r="M35" s="132">
        <v>2023</v>
      </c>
      <c r="N35" s="136">
        <v>22502.842993809401</v>
      </c>
      <c r="O35" s="133">
        <v>2023</v>
      </c>
      <c r="P35" s="136">
        <v>42484826492.756203</v>
      </c>
      <c r="Q35" s="132">
        <v>2023</v>
      </c>
      <c r="R35" s="132">
        <v>22630</v>
      </c>
      <c r="S35" s="134">
        <v>2023</v>
      </c>
      <c r="T35" s="17">
        <v>34.299999999999997</v>
      </c>
      <c r="U35" s="133">
        <v>2021</v>
      </c>
      <c r="V35" s="23">
        <v>8.9380462331663697</v>
      </c>
      <c r="W35" s="134">
        <v>2023</v>
      </c>
      <c r="X35" s="143">
        <v>7.1</v>
      </c>
      <c r="Y35" s="144">
        <v>2018</v>
      </c>
      <c r="Z35" s="135">
        <f t="shared" ref="Z35:AB35" si="47">(AJ35*40)* 48</f>
        <v>121671472.31907243</v>
      </c>
      <c r="AA35" s="135">
        <f t="shared" si="47"/>
        <v>51887900.744219154</v>
      </c>
      <c r="AB35" s="138">
        <f t="shared" si="47"/>
        <v>173559373.06329155</v>
      </c>
      <c r="AC35" s="18">
        <f t="shared" si="1"/>
        <v>27.63750775347302</v>
      </c>
      <c r="AD35" s="120">
        <f t="shared" si="2"/>
        <v>863867453.46541417</v>
      </c>
      <c r="AE35" s="121">
        <f t="shared" si="3"/>
        <v>368404095.28395599</v>
      </c>
      <c r="AF35" s="122">
        <f t="shared" si="4"/>
        <v>1232271548.7493701</v>
      </c>
      <c r="AG35" s="123">
        <f t="shared" si="5"/>
        <v>2.0447607443841234E-2</v>
      </c>
      <c r="AH35" s="124">
        <f t="shared" si="6"/>
        <v>8.720067286770869E-3</v>
      </c>
      <c r="AI35" s="125">
        <f t="shared" si="7"/>
        <v>2.9167674730612103E-2</v>
      </c>
      <c r="AJ35" s="139">
        <v>63370.558499516883</v>
      </c>
      <c r="AK35" s="140">
        <v>27024.94830428081</v>
      </c>
      <c r="AL35" s="140">
        <f t="shared" si="8"/>
        <v>90395.506803797689</v>
      </c>
      <c r="AM35" s="131">
        <f t="shared" si="41"/>
        <v>0.29896340271578009</v>
      </c>
      <c r="AN35" s="129">
        <f t="shared" si="9"/>
        <v>0.70103659728421996</v>
      </c>
      <c r="AO35" s="130">
        <f t="shared" si="10"/>
        <v>0.29896340271578009</v>
      </c>
      <c r="AP35" s="19" t="s">
        <v>57</v>
      </c>
      <c r="AQ35" s="20" t="s">
        <v>336</v>
      </c>
      <c r="AR35" s="20">
        <v>24.104800000000001</v>
      </c>
      <c r="AS35" s="20">
        <v>56.9465</v>
      </c>
      <c r="AT35" s="21" t="s">
        <v>247</v>
      </c>
      <c r="AU35" s="22" t="s">
        <v>248</v>
      </c>
      <c r="AY35" s="145"/>
      <c r="AZ35" s="125"/>
      <c r="BA35" s="15"/>
      <c r="BB35" s="136"/>
      <c r="BC35" s="131"/>
      <c r="BD35" s="15"/>
      <c r="BE35" s="136"/>
      <c r="BF35" s="18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</row>
    <row r="36" spans="1:71" ht="14.5" x14ac:dyDescent="0.35">
      <c r="A36" s="7">
        <v>35</v>
      </c>
      <c r="B36" s="23" t="s">
        <v>345</v>
      </c>
      <c r="C36" s="132">
        <v>1.1000000000000001</v>
      </c>
      <c r="D36" s="132">
        <v>3.3164047356287298</v>
      </c>
      <c r="E36" s="132">
        <v>-0.29280768470277801</v>
      </c>
      <c r="F36" s="133">
        <v>6.9256171559602304</v>
      </c>
      <c r="G36" s="23">
        <v>2.20078451702978</v>
      </c>
      <c r="H36" s="132">
        <v>0.858667619811183</v>
      </c>
      <c r="I36" s="134">
        <v>1.1000000000000001</v>
      </c>
      <c r="J36" s="135">
        <v>2871585</v>
      </c>
      <c r="K36" s="134">
        <v>2023</v>
      </c>
      <c r="L36" s="136">
        <v>79789877416.168106</v>
      </c>
      <c r="M36" s="132">
        <v>2023</v>
      </c>
      <c r="N36" s="136">
        <v>27786.005782927601</v>
      </c>
      <c r="O36" s="133">
        <v>2023</v>
      </c>
      <c r="P36" s="136">
        <v>72021087369.498596</v>
      </c>
      <c r="Q36" s="132">
        <v>2023</v>
      </c>
      <c r="R36" s="132">
        <v>25080</v>
      </c>
      <c r="S36" s="134">
        <v>2023</v>
      </c>
      <c r="T36" s="17">
        <v>36.700000000000003</v>
      </c>
      <c r="U36" s="133">
        <v>2021</v>
      </c>
      <c r="V36" s="23">
        <v>9.1173196239047503</v>
      </c>
      <c r="W36" s="134">
        <v>2023</v>
      </c>
      <c r="X36" s="143">
        <v>6.1</v>
      </c>
      <c r="Y36" s="144">
        <v>2018</v>
      </c>
      <c r="Z36" s="135">
        <f t="shared" ref="Z36:AB36" si="48">(AJ36*40)* 48</f>
        <v>121339004.30083123</v>
      </c>
      <c r="AA36" s="135">
        <f t="shared" si="48"/>
        <v>47342151.495081529</v>
      </c>
      <c r="AB36" s="138">
        <f t="shared" si="48"/>
        <v>168681155.79591277</v>
      </c>
      <c r="AC36" s="18">
        <f t="shared" si="1"/>
        <v>16.486418300374716</v>
      </c>
      <c r="AD36" s="120">
        <f t="shared" si="2"/>
        <v>740167926.23507047</v>
      </c>
      <c r="AE36" s="121">
        <f t="shared" si="3"/>
        <v>288787124.11999732</v>
      </c>
      <c r="AF36" s="122">
        <f t="shared" si="4"/>
        <v>1028955050.3550677</v>
      </c>
      <c r="AG36" s="123">
        <f t="shared" si="5"/>
        <v>9.2764640102716532E-3</v>
      </c>
      <c r="AH36" s="124">
        <f t="shared" si="6"/>
        <v>3.6193453790352528E-3</v>
      </c>
      <c r="AI36" s="125">
        <f t="shared" si="7"/>
        <v>1.2895809389306906E-2</v>
      </c>
      <c r="AJ36" s="139">
        <v>63197.398073349606</v>
      </c>
      <c r="AK36" s="140">
        <v>24657.37057035496</v>
      </c>
      <c r="AL36" s="140">
        <f t="shared" si="8"/>
        <v>87854.768643704563</v>
      </c>
      <c r="AM36" s="131">
        <f t="shared" si="41"/>
        <v>0.28066058281199341</v>
      </c>
      <c r="AN36" s="129">
        <f t="shared" si="9"/>
        <v>0.71933941718800665</v>
      </c>
      <c r="AO36" s="130">
        <f t="shared" si="10"/>
        <v>0.28066058281199335</v>
      </c>
      <c r="AP36" s="19" t="s">
        <v>57</v>
      </c>
      <c r="AQ36" s="20" t="s">
        <v>346</v>
      </c>
      <c r="AR36" s="20">
        <v>25.279900000000001</v>
      </c>
      <c r="AS36" s="20">
        <v>54.689599999999999</v>
      </c>
      <c r="AT36" s="21" t="s">
        <v>247</v>
      </c>
      <c r="AU36" s="22" t="s">
        <v>248</v>
      </c>
      <c r="AV36" s="15"/>
      <c r="AW36" s="15"/>
      <c r="AX36" s="15"/>
      <c r="AY36" s="145"/>
      <c r="AZ36" s="125"/>
      <c r="BA36" s="15"/>
      <c r="BB36" s="136"/>
      <c r="BC36" s="131"/>
      <c r="BD36" s="15"/>
      <c r="BE36" s="136"/>
      <c r="BF36" s="18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</row>
    <row r="37" spans="1:71" ht="14.5" x14ac:dyDescent="0.35">
      <c r="A37" s="7">
        <v>36</v>
      </c>
      <c r="B37" s="23" t="s">
        <v>312</v>
      </c>
      <c r="C37" s="132">
        <v>17</v>
      </c>
      <c r="D37" s="132">
        <v>15.3847974181027</v>
      </c>
      <c r="E37" s="132">
        <v>12.7219423420339</v>
      </c>
      <c r="F37" s="133">
        <v>18.047652494171501</v>
      </c>
      <c r="G37" s="23">
        <v>9.8371537721182296</v>
      </c>
      <c r="H37" s="132">
        <v>6.1374828552974998</v>
      </c>
      <c r="I37" s="134">
        <v>17</v>
      </c>
      <c r="J37" s="135">
        <v>666430</v>
      </c>
      <c r="K37" s="134">
        <v>2023</v>
      </c>
      <c r="L37" s="136">
        <v>85755006123.597595</v>
      </c>
      <c r="M37" s="132">
        <v>2023</v>
      </c>
      <c r="N37" s="136">
        <v>128678.18994282599</v>
      </c>
      <c r="O37" s="133">
        <v>2023</v>
      </c>
      <c r="P37" s="136">
        <v>55965689497.234398</v>
      </c>
      <c r="Q37" s="132">
        <v>2023</v>
      </c>
      <c r="R37" s="132">
        <v>83980</v>
      </c>
      <c r="S37" s="134">
        <v>2023</v>
      </c>
      <c r="T37" s="17">
        <v>32.700000000000003</v>
      </c>
      <c r="U37" s="133">
        <v>2021</v>
      </c>
      <c r="V37" s="23">
        <v>3.7414036198313601</v>
      </c>
      <c r="W37" s="134">
        <v>2023</v>
      </c>
      <c r="X37" s="143">
        <v>29.5</v>
      </c>
      <c r="Y37" s="144">
        <v>2018</v>
      </c>
      <c r="Z37" s="135">
        <f t="shared" ref="Z37:AB37" si="49">(AJ37*40)* 48</f>
        <v>125870868.25637282</v>
      </c>
      <c r="AA37" s="135">
        <f t="shared" si="49"/>
        <v>78531891.82571353</v>
      </c>
      <c r="AB37" s="138">
        <f t="shared" si="49"/>
        <v>204402760.08208635</v>
      </c>
      <c r="AC37" s="18">
        <f t="shared" si="1"/>
        <v>117.83967082171201</v>
      </c>
      <c r="AD37" s="120">
        <f t="shared" si="2"/>
        <v>3713190613.5629983</v>
      </c>
      <c r="AE37" s="121">
        <f t="shared" si="3"/>
        <v>2316690808.8585491</v>
      </c>
      <c r="AF37" s="122">
        <f t="shared" si="4"/>
        <v>6029881422.4215469</v>
      </c>
      <c r="AG37" s="123">
        <f t="shared" si="5"/>
        <v>4.3299986571177243E-2</v>
      </c>
      <c r="AH37" s="124">
        <f t="shared" si="6"/>
        <v>2.7015225274656645E-2</v>
      </c>
      <c r="AI37" s="125">
        <f t="shared" si="7"/>
        <v>7.0315211845833892E-2</v>
      </c>
      <c r="AJ37" s="139">
        <v>65557.74388352751</v>
      </c>
      <c r="AK37" s="140">
        <v>40902.026992559127</v>
      </c>
      <c r="AL37" s="140">
        <f t="shared" si="8"/>
        <v>106459.77087608664</v>
      </c>
      <c r="AM37" s="131">
        <f t="shared" si="41"/>
        <v>0.38420171916551332</v>
      </c>
      <c r="AN37" s="129">
        <f t="shared" si="9"/>
        <v>0.61579828083448673</v>
      </c>
      <c r="AO37" s="130">
        <f t="shared" si="10"/>
        <v>0.38420171916551327</v>
      </c>
      <c r="AP37" s="19" t="s">
        <v>57</v>
      </c>
      <c r="AQ37" s="20" t="s">
        <v>312</v>
      </c>
      <c r="AR37" s="20">
        <v>6.1295999999999999</v>
      </c>
      <c r="AS37" s="20">
        <v>49.61</v>
      </c>
      <c r="AT37" s="21" t="s">
        <v>247</v>
      </c>
      <c r="AU37" s="22" t="s">
        <v>248</v>
      </c>
      <c r="AV37" s="15"/>
      <c r="AW37" s="15"/>
      <c r="AX37" s="15"/>
      <c r="AY37" s="136">
        <v>2551.0177267414201</v>
      </c>
      <c r="AZ37" s="125">
        <v>1.1304641685011628E-2</v>
      </c>
      <c r="BA37" s="15"/>
      <c r="BB37" s="136">
        <v>2551.0177267414201</v>
      </c>
      <c r="BC37" s="131">
        <v>0.33934174259779604</v>
      </c>
      <c r="BD37" s="15"/>
      <c r="BE37" s="136">
        <v>2551.0177267414201</v>
      </c>
      <c r="BF37" s="18">
        <v>13.841659125240042</v>
      </c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</row>
    <row r="38" spans="1:71" ht="14.5" x14ac:dyDescent="0.35">
      <c r="A38" s="7">
        <v>37</v>
      </c>
      <c r="B38" s="23" t="s">
        <v>150</v>
      </c>
      <c r="C38" s="132"/>
      <c r="D38" s="132">
        <v>3.4123548892582098</v>
      </c>
      <c r="E38" s="132">
        <v>2.40722325356107</v>
      </c>
      <c r="F38" s="133">
        <v>4.4174865249553497</v>
      </c>
      <c r="G38" s="23">
        <v>2.4592151293693099</v>
      </c>
      <c r="H38" s="132">
        <v>1.10878086594841</v>
      </c>
      <c r="I38" s="134">
        <v>3.4123548892582098</v>
      </c>
      <c r="J38" s="135">
        <v>2457783</v>
      </c>
      <c r="K38" s="134">
        <v>2023</v>
      </c>
      <c r="L38" s="136">
        <v>16539436547.295</v>
      </c>
      <c r="M38" s="132">
        <v>2023</v>
      </c>
      <c r="N38" s="136">
        <v>6729.4128681396896</v>
      </c>
      <c r="O38" s="133">
        <v>2023</v>
      </c>
      <c r="P38" s="136">
        <v>15243840959.3158</v>
      </c>
      <c r="Q38" s="132">
        <v>2023</v>
      </c>
      <c r="R38" s="132">
        <v>6200</v>
      </c>
      <c r="S38" s="134">
        <v>2023</v>
      </c>
      <c r="T38" s="17">
        <v>25.7</v>
      </c>
      <c r="U38" s="133">
        <v>2021</v>
      </c>
      <c r="V38" s="23">
        <v>13.417010438129999</v>
      </c>
      <c r="W38" s="134">
        <v>2023</v>
      </c>
      <c r="X38" s="137">
        <v>2.0670000000000002</v>
      </c>
      <c r="Y38" s="133">
        <v>2023</v>
      </c>
      <c r="Z38" s="135">
        <f t="shared" ref="Z38:AB38" si="50">(AJ38*40)* 48</f>
        <v>116048969.05548847</v>
      </c>
      <c r="AA38" s="135">
        <f t="shared" si="50"/>
        <v>52322741.050623</v>
      </c>
      <c r="AB38" s="138">
        <f t="shared" si="50"/>
        <v>168371710.10611144</v>
      </c>
      <c r="AC38" s="18">
        <f t="shared" si="1"/>
        <v>21.288592626209475</v>
      </c>
      <c r="AD38" s="120">
        <f t="shared" si="2"/>
        <v>239873219.03769469</v>
      </c>
      <c r="AE38" s="121">
        <f t="shared" si="3"/>
        <v>108151105.75163774</v>
      </c>
      <c r="AF38" s="122">
        <f t="shared" si="4"/>
        <v>348024324.78933245</v>
      </c>
      <c r="AG38" s="123">
        <f t="shared" si="5"/>
        <v>1.450310706484893E-2</v>
      </c>
      <c r="AH38" s="124">
        <f t="shared" si="6"/>
        <v>6.5389836855914958E-3</v>
      </c>
      <c r="AI38" s="125">
        <f t="shared" si="7"/>
        <v>2.1042090750440424E-2</v>
      </c>
      <c r="AJ38" s="139">
        <v>60442.171383066903</v>
      </c>
      <c r="AK38" s="140">
        <v>27251.427630532809</v>
      </c>
      <c r="AL38" s="140">
        <f t="shared" si="8"/>
        <v>87693.599013599713</v>
      </c>
      <c r="AM38" s="131">
        <f t="shared" si="41"/>
        <v>0.31075731794639422</v>
      </c>
      <c r="AN38" s="129">
        <f t="shared" si="9"/>
        <v>0.68924268205360573</v>
      </c>
      <c r="AO38" s="130">
        <f t="shared" si="10"/>
        <v>0.31075731794639422</v>
      </c>
      <c r="AP38" s="19" t="s">
        <v>57</v>
      </c>
      <c r="AQ38" s="20" t="s">
        <v>151</v>
      </c>
      <c r="AR38" s="20">
        <v>28.849699999999999</v>
      </c>
      <c r="AS38" s="20">
        <v>47.0167</v>
      </c>
      <c r="AT38" s="21" t="s">
        <v>152</v>
      </c>
      <c r="AU38" s="22" t="s">
        <v>60</v>
      </c>
      <c r="AV38" s="15"/>
      <c r="AW38" s="15"/>
      <c r="AX38" s="15"/>
      <c r="AY38" s="136">
        <v>1010.2689290183999</v>
      </c>
      <c r="AZ38" s="125">
        <v>2.107591622824305E-2</v>
      </c>
      <c r="BA38" s="15"/>
      <c r="BB38" s="136">
        <v>1010.2689290183999</v>
      </c>
      <c r="BC38" s="131">
        <v>0.42347816828672902</v>
      </c>
      <c r="BD38" s="15"/>
      <c r="BE38" s="136">
        <v>1010.2689290183999</v>
      </c>
      <c r="BF38" s="18">
        <v>19.817236364806647</v>
      </c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</row>
    <row r="39" spans="1:71" ht="14.5" x14ac:dyDescent="0.35">
      <c r="A39" s="7">
        <v>38</v>
      </c>
      <c r="B39" s="16" t="s">
        <v>179</v>
      </c>
      <c r="C39" s="132"/>
      <c r="D39" s="132">
        <v>5.1403934482340299</v>
      </c>
      <c r="E39" s="132">
        <v>4.2538191471446503</v>
      </c>
      <c r="F39" s="133">
        <v>6.0269677493234104</v>
      </c>
      <c r="G39" s="23">
        <v>3.1645690205478498</v>
      </c>
      <c r="H39" s="132">
        <v>2.1915702705922899</v>
      </c>
      <c r="I39" s="134">
        <v>5.1403934482340299</v>
      </c>
      <c r="J39" s="135">
        <v>616177</v>
      </c>
      <c r="K39" s="134">
        <v>2023</v>
      </c>
      <c r="L39" s="136">
        <v>7530593375.2203398</v>
      </c>
      <c r="M39" s="132">
        <v>2023</v>
      </c>
      <c r="N39" s="136">
        <v>12221.477554696699</v>
      </c>
      <c r="O39" s="133">
        <v>2023</v>
      </c>
      <c r="P39" s="136">
        <v>7142599446.5453501</v>
      </c>
      <c r="Q39" s="132">
        <v>2023</v>
      </c>
      <c r="R39" s="132">
        <v>11590</v>
      </c>
      <c r="S39" s="134">
        <v>2023</v>
      </c>
      <c r="T39" s="17">
        <v>34.299999999999997</v>
      </c>
      <c r="U39" s="133">
        <v>2021</v>
      </c>
      <c r="V39" s="23">
        <v>8.5847691045540309</v>
      </c>
      <c r="W39" s="134">
        <v>2023</v>
      </c>
      <c r="X39" s="141">
        <v>5.80361875</v>
      </c>
      <c r="Y39" s="142">
        <v>2022</v>
      </c>
      <c r="Z39" s="135">
        <f t="shared" ref="Z39:AB39" si="51">(AJ39*40)* 48</f>
        <v>37438745.191182949</v>
      </c>
      <c r="AA39" s="135">
        <f t="shared" si="51"/>
        <v>25927587.736756705</v>
      </c>
      <c r="AB39" s="138">
        <f t="shared" si="51"/>
        <v>63366332.927939653</v>
      </c>
      <c r="AC39" s="18">
        <f t="shared" si="1"/>
        <v>42.078149195371957</v>
      </c>
      <c r="AD39" s="120">
        <f t="shared" si="2"/>
        <v>217280203.56802168</v>
      </c>
      <c r="AE39" s="121">
        <f t="shared" si="3"/>
        <v>150473834.33131129</v>
      </c>
      <c r="AF39" s="122">
        <f t="shared" si="4"/>
        <v>367754037.899333</v>
      </c>
      <c r="AG39" s="123">
        <f t="shared" si="5"/>
        <v>2.8852999058877511E-2</v>
      </c>
      <c r="AH39" s="124">
        <f t="shared" si="6"/>
        <v>1.9981670345719408E-2</v>
      </c>
      <c r="AI39" s="125">
        <f t="shared" si="7"/>
        <v>4.8834669404596923E-2</v>
      </c>
      <c r="AJ39" s="139">
        <v>19499.34645374112</v>
      </c>
      <c r="AK39" s="140">
        <v>13503.951946227449</v>
      </c>
      <c r="AL39" s="140">
        <f t="shared" si="8"/>
        <v>33003.298399968568</v>
      </c>
      <c r="AM39" s="128">
        <f>AJ39/AL39</f>
        <v>0.59083023210067065</v>
      </c>
      <c r="AN39" s="129">
        <f t="shared" si="9"/>
        <v>0.59083023210067065</v>
      </c>
      <c r="AO39" s="130">
        <f t="shared" si="10"/>
        <v>0.40916976789932946</v>
      </c>
      <c r="AP39" s="19" t="s">
        <v>57</v>
      </c>
      <c r="AQ39" s="20" t="s">
        <v>180</v>
      </c>
      <c r="AR39" s="20">
        <v>19.259499999999999</v>
      </c>
      <c r="AS39" s="20">
        <v>42.4602</v>
      </c>
      <c r="AT39" s="21" t="s">
        <v>152</v>
      </c>
      <c r="AU39" s="22" t="s">
        <v>60</v>
      </c>
      <c r="AV39" s="15"/>
      <c r="AW39" s="15"/>
      <c r="AX39" s="15"/>
      <c r="AY39" s="35"/>
      <c r="AZ39" s="125"/>
      <c r="BA39" s="15"/>
      <c r="BB39" s="136"/>
      <c r="BC39" s="131"/>
      <c r="BD39" s="15"/>
      <c r="BE39" s="136"/>
      <c r="BF39" s="18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</row>
    <row r="40" spans="1:71" ht="14.5" x14ac:dyDescent="0.35">
      <c r="A40" s="7">
        <v>39</v>
      </c>
      <c r="B40" s="23" t="s">
        <v>251</v>
      </c>
      <c r="C40" s="132">
        <v>17.399999999999999</v>
      </c>
      <c r="D40" s="132">
        <v>15.082857011822499</v>
      </c>
      <c r="E40" s="132">
        <v>11.141602143997201</v>
      </c>
      <c r="F40" s="133">
        <v>19.024111879647698</v>
      </c>
      <c r="G40" s="23">
        <v>9.4413838501583598</v>
      </c>
      <c r="H40" s="132">
        <v>5.5862223951842598</v>
      </c>
      <c r="I40" s="134">
        <v>17.399999999999999</v>
      </c>
      <c r="J40" s="135">
        <v>17877117</v>
      </c>
      <c r="K40" s="134">
        <v>2023</v>
      </c>
      <c r="L40" s="136">
        <v>1154361305398.0601</v>
      </c>
      <c r="M40" s="132">
        <v>2023</v>
      </c>
      <c r="N40" s="136">
        <v>64572.005955885397</v>
      </c>
      <c r="O40" s="133">
        <v>2023</v>
      </c>
      <c r="P40" s="136">
        <v>1118008771409.8799</v>
      </c>
      <c r="Q40" s="132">
        <v>2023</v>
      </c>
      <c r="R40" s="132">
        <v>62540</v>
      </c>
      <c r="S40" s="134">
        <v>2023</v>
      </c>
      <c r="T40" s="17">
        <v>25.7</v>
      </c>
      <c r="U40" s="133">
        <v>2021</v>
      </c>
      <c r="V40" s="23">
        <v>3.8383935434280798</v>
      </c>
      <c r="W40" s="134">
        <v>2023</v>
      </c>
      <c r="X40" s="143">
        <v>21.3</v>
      </c>
      <c r="Y40" s="144">
        <v>2018</v>
      </c>
      <c r="Z40" s="135">
        <f t="shared" ref="Z40:AB40" si="52">(AJ40*40)* 48</f>
        <v>3240666695.6388769</v>
      </c>
      <c r="AA40" s="135">
        <f t="shared" si="52"/>
        <v>1917418585.8572016</v>
      </c>
      <c r="AB40" s="138">
        <f t="shared" si="52"/>
        <v>5158085281.4960785</v>
      </c>
      <c r="AC40" s="18">
        <f t="shared" si="1"/>
        <v>107.25546998753779</v>
      </c>
      <c r="AD40" s="120">
        <f t="shared" si="2"/>
        <v>69026200617.108078</v>
      </c>
      <c r="AE40" s="121">
        <f t="shared" si="3"/>
        <v>40841015878.758392</v>
      </c>
      <c r="AF40" s="122">
        <f t="shared" si="4"/>
        <v>109867216495.86647</v>
      </c>
      <c r="AG40" s="123">
        <f t="shared" si="5"/>
        <v>5.9796010394947946E-2</v>
      </c>
      <c r="AH40" s="124">
        <f t="shared" si="6"/>
        <v>3.5379751285647194E-2</v>
      </c>
      <c r="AI40" s="125">
        <f t="shared" si="7"/>
        <v>9.5175761680595133E-2</v>
      </c>
      <c r="AJ40" s="139">
        <v>1687847.237311915</v>
      </c>
      <c r="AK40" s="140">
        <v>998655.51346729253</v>
      </c>
      <c r="AL40" s="140">
        <f t="shared" si="8"/>
        <v>2686502.7507792078</v>
      </c>
      <c r="AM40" s="131">
        <f t="shared" ref="AM40:AM73" si="53">AE40/(AD40+AE40)</f>
        <v>0.37173068710896989</v>
      </c>
      <c r="AN40" s="129">
        <f t="shared" si="9"/>
        <v>0.62826931289103005</v>
      </c>
      <c r="AO40" s="130">
        <f t="shared" si="10"/>
        <v>0.37173068710896984</v>
      </c>
      <c r="AP40" s="19" t="s">
        <v>57</v>
      </c>
      <c r="AQ40" s="20" t="s">
        <v>252</v>
      </c>
      <c r="AR40" s="20">
        <v>4.8909500000000001</v>
      </c>
      <c r="AS40" s="20">
        <v>52.373800000000003</v>
      </c>
      <c r="AT40" s="21" t="s">
        <v>247</v>
      </c>
      <c r="AU40" s="22" t="s">
        <v>248</v>
      </c>
      <c r="AV40" s="15"/>
      <c r="AW40" s="15"/>
      <c r="AX40" s="15"/>
      <c r="AY40" s="136">
        <v>33121.371288550799</v>
      </c>
      <c r="AZ40" s="125">
        <v>6.1306071603826909E-2</v>
      </c>
      <c r="BB40" s="136">
        <v>33121.371288550799</v>
      </c>
      <c r="BC40" s="131">
        <v>0.32120597995640471</v>
      </c>
      <c r="BE40" s="136">
        <v>33121.371288550799</v>
      </c>
      <c r="BF40" s="18">
        <v>33.793884097716102</v>
      </c>
    </row>
    <row r="41" spans="1:71" ht="14.5" x14ac:dyDescent="0.35">
      <c r="A41" s="7">
        <v>40</v>
      </c>
      <c r="B41" s="23" t="s">
        <v>171</v>
      </c>
      <c r="C41" s="132"/>
      <c r="D41" s="132">
        <v>3.4815484172857101</v>
      </c>
      <c r="E41" s="132">
        <v>2.4751392790554401</v>
      </c>
      <c r="F41" s="133">
        <v>4.4879575555159699</v>
      </c>
      <c r="G41" s="23">
        <v>2.3746345373159601</v>
      </c>
      <c r="H41" s="132">
        <v>0.98773059719577505</v>
      </c>
      <c r="I41" s="134">
        <v>3.4815484172857101</v>
      </c>
      <c r="J41" s="135">
        <v>1827816</v>
      </c>
      <c r="K41" s="134">
        <v>2023</v>
      </c>
      <c r="L41" s="136">
        <v>15763621848.115</v>
      </c>
      <c r="M41" s="132">
        <v>2023</v>
      </c>
      <c r="N41" s="136">
        <v>8624.2936094853103</v>
      </c>
      <c r="O41" s="133">
        <v>2023</v>
      </c>
      <c r="P41" s="136">
        <v>14442937306.4335</v>
      </c>
      <c r="Q41" s="132">
        <v>2023</v>
      </c>
      <c r="R41" s="132">
        <v>7900</v>
      </c>
      <c r="S41" s="134">
        <v>2023</v>
      </c>
      <c r="T41" s="17">
        <v>33.5</v>
      </c>
      <c r="U41" s="133">
        <v>2019</v>
      </c>
      <c r="V41" s="23">
        <v>9.3618724976901593</v>
      </c>
      <c r="W41" s="134">
        <v>2023</v>
      </c>
      <c r="X41" s="143">
        <v>3.8</v>
      </c>
      <c r="Y41" s="144">
        <v>2018</v>
      </c>
      <c r="Z41" s="135">
        <f t="shared" ref="Z41:AB41" si="54">(AJ41*40)* 48</f>
        <v>83335584.028007209</v>
      </c>
      <c r="AA41" s="135">
        <f t="shared" si="54"/>
        <v>34663483.953484669</v>
      </c>
      <c r="AB41" s="138">
        <f t="shared" si="54"/>
        <v>117999067.98149188</v>
      </c>
      <c r="AC41" s="18">
        <f t="shared" si="1"/>
        <v>18.964427466158885</v>
      </c>
      <c r="AD41" s="120">
        <f t="shared" si="2"/>
        <v>316675219.30642736</v>
      </c>
      <c r="AE41" s="121">
        <f t="shared" si="3"/>
        <v>131721239.02324174</v>
      </c>
      <c r="AF41" s="122">
        <f t="shared" si="4"/>
        <v>448396458.32966912</v>
      </c>
      <c r="AG41" s="123">
        <f t="shared" si="5"/>
        <v>2.0088988581281851E-2</v>
      </c>
      <c r="AH41" s="124">
        <f t="shared" si="6"/>
        <v>8.3560263175808704E-3</v>
      </c>
      <c r="AI41" s="125">
        <f t="shared" si="7"/>
        <v>2.8445014898862721E-2</v>
      </c>
      <c r="AJ41" s="139">
        <v>43403.950014587092</v>
      </c>
      <c r="AK41" s="140">
        <v>18053.897892439931</v>
      </c>
      <c r="AL41" s="140">
        <f t="shared" si="8"/>
        <v>61457.847907027026</v>
      </c>
      <c r="AM41" s="131">
        <f t="shared" si="53"/>
        <v>0.29376065884623453</v>
      </c>
      <c r="AN41" s="129">
        <f t="shared" si="9"/>
        <v>0.70623934115376552</v>
      </c>
      <c r="AO41" s="130">
        <f t="shared" si="10"/>
        <v>0.29376065884623448</v>
      </c>
      <c r="AP41" s="19" t="s">
        <v>57</v>
      </c>
      <c r="AQ41" s="20" t="s">
        <v>172</v>
      </c>
      <c r="AR41" s="20" t="s">
        <v>173</v>
      </c>
      <c r="AS41" s="20" t="s">
        <v>174</v>
      </c>
      <c r="AT41" s="21" t="s">
        <v>152</v>
      </c>
      <c r="AU41" s="22" t="s">
        <v>60</v>
      </c>
      <c r="AV41" s="15"/>
      <c r="AW41" s="15"/>
      <c r="AX41" s="15"/>
      <c r="AY41" s="136">
        <v>11613.044158758799</v>
      </c>
      <c r="AZ41" s="125">
        <v>3.0179514723468082E-2</v>
      </c>
      <c r="BA41" s="15"/>
      <c r="BB41" s="136">
        <v>11613.044158758799</v>
      </c>
      <c r="BC41" s="131">
        <v>0.38557424608848961</v>
      </c>
      <c r="BD41" s="15"/>
      <c r="BE41" s="136">
        <v>11613.044158758799</v>
      </c>
      <c r="BF41" s="18">
        <v>41.490492417952709</v>
      </c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</row>
    <row r="42" spans="1:71" ht="14.5" x14ac:dyDescent="0.35">
      <c r="A42" s="7">
        <v>41</v>
      </c>
      <c r="B42" s="23" t="s">
        <v>263</v>
      </c>
      <c r="C42" s="132">
        <v>8.6</v>
      </c>
      <c r="D42" s="132">
        <v>9.8729496501077296</v>
      </c>
      <c r="E42" s="132">
        <v>7.4457059668658099</v>
      </c>
      <c r="F42" s="133">
        <v>12.300193333349601</v>
      </c>
      <c r="G42" s="23">
        <v>4.8415646605686904</v>
      </c>
      <c r="H42" s="132">
        <v>5.45054391365922</v>
      </c>
      <c r="I42" s="134">
        <v>8.6</v>
      </c>
      <c r="J42" s="135">
        <v>5519594</v>
      </c>
      <c r="K42" s="134">
        <v>2023</v>
      </c>
      <c r="L42" s="136">
        <v>485310823603.66199</v>
      </c>
      <c r="M42" s="132">
        <v>2023</v>
      </c>
      <c r="N42" s="136">
        <v>87925.094418839901</v>
      </c>
      <c r="O42" s="133">
        <v>2023</v>
      </c>
      <c r="P42" s="136">
        <v>568009245012.48303</v>
      </c>
      <c r="Q42" s="132">
        <v>2023</v>
      </c>
      <c r="R42" s="132">
        <v>102910</v>
      </c>
      <c r="S42" s="134">
        <v>2023</v>
      </c>
      <c r="T42" s="17">
        <v>27.7</v>
      </c>
      <c r="U42" s="133">
        <v>2019</v>
      </c>
      <c r="V42" s="23">
        <v>5.5178498710465904</v>
      </c>
      <c r="W42" s="134">
        <v>2023</v>
      </c>
      <c r="X42" s="143">
        <v>35.200000000000003</v>
      </c>
      <c r="Y42" s="144">
        <v>2018</v>
      </c>
      <c r="Z42" s="135">
        <f t="shared" ref="Z42:AB42" si="55">(AJ42*40)* 48</f>
        <v>513090648.02086997</v>
      </c>
      <c r="AA42" s="135">
        <f t="shared" si="55"/>
        <v>577627958.06534302</v>
      </c>
      <c r="AB42" s="138">
        <f t="shared" si="55"/>
        <v>1090718606.0862131</v>
      </c>
      <c r="AC42" s="18">
        <f t="shared" si="1"/>
        <v>104.65044314225703</v>
      </c>
      <c r="AD42" s="120">
        <f t="shared" si="2"/>
        <v>18060790810.334625</v>
      </c>
      <c r="AE42" s="121">
        <f t="shared" si="3"/>
        <v>20332504123.900078</v>
      </c>
      <c r="AF42" s="122">
        <f t="shared" si="4"/>
        <v>38393294934.234703</v>
      </c>
      <c r="AG42" s="123">
        <f t="shared" si="5"/>
        <v>3.7214893902890372E-2</v>
      </c>
      <c r="AH42" s="124">
        <f t="shared" si="6"/>
        <v>4.1895838986078314E-2</v>
      </c>
      <c r="AI42" s="125">
        <f t="shared" si="7"/>
        <v>7.9110732888968693E-2</v>
      </c>
      <c r="AJ42" s="139">
        <v>267234.71251086978</v>
      </c>
      <c r="AK42" s="140">
        <v>300847.89482569951</v>
      </c>
      <c r="AL42" s="140">
        <f t="shared" si="8"/>
        <v>568082.60733656934</v>
      </c>
      <c r="AM42" s="131">
        <f t="shared" si="53"/>
        <v>0.52958476626526529</v>
      </c>
      <c r="AN42" s="129">
        <f t="shared" si="9"/>
        <v>0.47041523373473471</v>
      </c>
      <c r="AO42" s="130">
        <f t="shared" si="10"/>
        <v>0.52958476626526518</v>
      </c>
      <c r="AP42" s="19" t="s">
        <v>57</v>
      </c>
      <c r="AQ42" s="20" t="s">
        <v>264</v>
      </c>
      <c r="AR42" s="20">
        <v>10.7387</v>
      </c>
      <c r="AS42" s="20">
        <v>59.913800000000002</v>
      </c>
      <c r="AT42" s="21" t="s">
        <v>247</v>
      </c>
      <c r="AU42" s="22" t="s">
        <v>248</v>
      </c>
      <c r="AV42" s="15"/>
      <c r="AW42" s="15"/>
      <c r="AX42" s="15"/>
      <c r="AY42" s="136">
        <v>10294.866680777999</v>
      </c>
      <c r="AZ42" s="125">
        <v>2.6667627130789247E-2</v>
      </c>
      <c r="BA42" s="15"/>
      <c r="BB42" s="136">
        <v>10294.866680777999</v>
      </c>
      <c r="BC42" s="131">
        <v>0.28286253279662121</v>
      </c>
      <c r="BD42" s="15"/>
      <c r="BE42" s="136">
        <v>10294.866680777999</v>
      </c>
      <c r="BF42" s="18">
        <v>21.807634169918206</v>
      </c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</row>
    <row r="43" spans="1:71" ht="14.5" x14ac:dyDescent="0.35">
      <c r="A43" s="7">
        <v>42</v>
      </c>
      <c r="B43" s="23" t="s">
        <v>269</v>
      </c>
      <c r="C43" s="132">
        <v>3.3</v>
      </c>
      <c r="D43" s="132">
        <v>3.28820359998348</v>
      </c>
      <c r="E43" s="132">
        <v>2.4873372769700701</v>
      </c>
      <c r="F43" s="133">
        <v>4.0890699229968996</v>
      </c>
      <c r="G43" s="23">
        <v>2.2580824379358799</v>
      </c>
      <c r="H43" s="132">
        <v>0.93253998196955201</v>
      </c>
      <c r="I43" s="134">
        <v>3.3</v>
      </c>
      <c r="J43" s="135">
        <v>36687353</v>
      </c>
      <c r="K43" s="134">
        <v>2023</v>
      </c>
      <c r="L43" s="136">
        <v>809200697797.08801</v>
      </c>
      <c r="M43" s="132">
        <v>2023</v>
      </c>
      <c r="N43" s="136">
        <v>22056.6661704127</v>
      </c>
      <c r="O43" s="133">
        <v>2023</v>
      </c>
      <c r="P43" s="136">
        <v>729945010883.83105</v>
      </c>
      <c r="Q43" s="132">
        <v>2023</v>
      </c>
      <c r="R43" s="132">
        <v>19900</v>
      </c>
      <c r="S43" s="134">
        <v>2023</v>
      </c>
      <c r="T43" s="17">
        <v>28.5</v>
      </c>
      <c r="U43" s="133">
        <v>2021</v>
      </c>
      <c r="V43" s="23">
        <v>11.5289127961105</v>
      </c>
      <c r="W43" s="134">
        <v>2023</v>
      </c>
      <c r="X43" s="143">
        <v>7.5</v>
      </c>
      <c r="Y43" s="144">
        <v>2014</v>
      </c>
      <c r="Z43" s="135">
        <f t="shared" ref="Z43:AB43" si="56">(AJ43*40)* 48</f>
        <v>1590586896.0701611</v>
      </c>
      <c r="AA43" s="135">
        <f t="shared" si="56"/>
        <v>656878531.29850733</v>
      </c>
      <c r="AB43" s="138">
        <f t="shared" si="56"/>
        <v>2247465427.3686686</v>
      </c>
      <c r="AC43" s="18">
        <f t="shared" si="1"/>
        <v>17.904767653815398</v>
      </c>
      <c r="AD43" s="120">
        <f t="shared" si="2"/>
        <v>11929401720.526209</v>
      </c>
      <c r="AE43" s="121">
        <f t="shared" si="3"/>
        <v>4926588984.7388048</v>
      </c>
      <c r="AF43" s="122">
        <f t="shared" si="4"/>
        <v>16855990705.265015</v>
      </c>
      <c r="AG43" s="123">
        <f t="shared" si="5"/>
        <v>1.474220394643997E-2</v>
      </c>
      <c r="AH43" s="124">
        <f t="shared" si="6"/>
        <v>6.0882164315362178E-3</v>
      </c>
      <c r="AI43" s="125">
        <f t="shared" si="7"/>
        <v>2.0830420377976187E-2</v>
      </c>
      <c r="AJ43" s="139">
        <v>828430.67503654223</v>
      </c>
      <c r="AK43" s="140">
        <v>342124.23505130591</v>
      </c>
      <c r="AL43" s="140">
        <f t="shared" si="8"/>
        <v>1170554.9100878481</v>
      </c>
      <c r="AM43" s="131">
        <f t="shared" si="53"/>
        <v>0.29227525518271502</v>
      </c>
      <c r="AN43" s="129">
        <f t="shared" si="9"/>
        <v>0.70772474481728498</v>
      </c>
      <c r="AO43" s="130">
        <f t="shared" si="10"/>
        <v>0.29227525518271508</v>
      </c>
      <c r="AP43" s="19" t="s">
        <v>57</v>
      </c>
      <c r="AQ43" s="20" t="s">
        <v>270</v>
      </c>
      <c r="AR43" s="20">
        <v>21.02</v>
      </c>
      <c r="AS43" s="20">
        <v>52.26</v>
      </c>
      <c r="AT43" s="21" t="s">
        <v>247</v>
      </c>
      <c r="AU43" s="22" t="s">
        <v>60</v>
      </c>
      <c r="AV43" s="15"/>
      <c r="AW43" s="15"/>
      <c r="AX43" s="15"/>
      <c r="AY43" s="136">
        <v>27331.209494525501</v>
      </c>
      <c r="AZ43" s="125">
        <v>3.5281088082788604E-2</v>
      </c>
      <c r="BA43" s="15"/>
      <c r="BB43" s="136">
        <v>27331.209494525501</v>
      </c>
      <c r="BC43" s="131">
        <v>0.26670095833606988</v>
      </c>
      <c r="BD43" s="15"/>
      <c r="BE43" s="136">
        <v>27331.209494525501</v>
      </c>
      <c r="BF43" s="18">
        <v>33.709924736634434</v>
      </c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</row>
    <row r="44" spans="1:71" ht="14.5" x14ac:dyDescent="0.35">
      <c r="A44" s="7">
        <v>43</v>
      </c>
      <c r="B44" s="23" t="s">
        <v>337</v>
      </c>
      <c r="C44" s="132">
        <v>6</v>
      </c>
      <c r="D44" s="132">
        <v>7.0148396069400896</v>
      </c>
      <c r="E44" s="132">
        <v>5.5183592170644804</v>
      </c>
      <c r="F44" s="133">
        <v>8.5113199968157005</v>
      </c>
      <c r="G44" s="23">
        <v>4.8273978798670898</v>
      </c>
      <c r="H44" s="132">
        <v>1.75572524669971</v>
      </c>
      <c r="I44" s="134">
        <v>6</v>
      </c>
      <c r="J44" s="135">
        <v>10578174</v>
      </c>
      <c r="K44" s="134">
        <v>2023</v>
      </c>
      <c r="L44" s="136">
        <v>289114289663.54199</v>
      </c>
      <c r="M44" s="132">
        <v>2023</v>
      </c>
      <c r="N44" s="136">
        <v>27331.209494525501</v>
      </c>
      <c r="O44" s="133">
        <v>2023</v>
      </c>
      <c r="P44" s="136">
        <v>276643747696.401</v>
      </c>
      <c r="Q44" s="132">
        <v>2023</v>
      </c>
      <c r="R44" s="132">
        <v>26150</v>
      </c>
      <c r="S44" s="134">
        <v>2023</v>
      </c>
      <c r="T44" s="17">
        <v>34.6</v>
      </c>
      <c r="U44" s="133">
        <v>2021</v>
      </c>
      <c r="V44" s="23">
        <v>4.3112819189867198</v>
      </c>
      <c r="W44" s="134">
        <v>2023</v>
      </c>
      <c r="X44" s="137">
        <v>7.6289999999999996</v>
      </c>
      <c r="Y44" s="133">
        <v>2023</v>
      </c>
      <c r="Z44" s="135">
        <f t="shared" ref="Z44:AB44" si="57">(AJ44*40)* 48</f>
        <v>980449051.0169313</v>
      </c>
      <c r="AA44" s="135">
        <f t="shared" si="57"/>
        <v>356589449.39102322</v>
      </c>
      <c r="AB44" s="138">
        <f t="shared" si="57"/>
        <v>1337038500.4079547</v>
      </c>
      <c r="AC44" s="18">
        <f t="shared" si="1"/>
        <v>33.709924736634434</v>
      </c>
      <c r="AD44" s="120">
        <f t="shared" si="2"/>
        <v>7479845810.208168</v>
      </c>
      <c r="AE44" s="121">
        <f t="shared" si="3"/>
        <v>2720420909.4041162</v>
      </c>
      <c r="AF44" s="122">
        <f t="shared" si="4"/>
        <v>10200266719.612284</v>
      </c>
      <c r="AG44" s="123">
        <f t="shared" si="5"/>
        <v>2.5871588079969591E-2</v>
      </c>
      <c r="AH44" s="124">
        <f t="shared" si="6"/>
        <v>9.4095000028190153E-3</v>
      </c>
      <c r="AI44" s="125">
        <f t="shared" si="7"/>
        <v>3.5281088082788604E-2</v>
      </c>
      <c r="AJ44" s="139">
        <v>510650.5474046517</v>
      </c>
      <c r="AK44" s="140">
        <v>185723.67155782459</v>
      </c>
      <c r="AL44" s="140">
        <f t="shared" si="8"/>
        <v>696374.21896247636</v>
      </c>
      <c r="AM44" s="131">
        <f t="shared" si="53"/>
        <v>0.26670095833606988</v>
      </c>
      <c r="AN44" s="129">
        <f t="shared" si="9"/>
        <v>0.73329904166393001</v>
      </c>
      <c r="AO44" s="130">
        <f t="shared" si="10"/>
        <v>0.26670095833606988</v>
      </c>
      <c r="AP44" s="19" t="s">
        <v>57</v>
      </c>
      <c r="AQ44" s="20" t="s">
        <v>338</v>
      </c>
      <c r="AR44" s="20">
        <v>-9.1355199999999996</v>
      </c>
      <c r="AS44" s="20">
        <v>38.7072</v>
      </c>
      <c r="AT44" s="21" t="s">
        <v>247</v>
      </c>
      <c r="AU44" s="22" t="s">
        <v>248</v>
      </c>
      <c r="AV44" s="15"/>
      <c r="AW44" s="15"/>
      <c r="AX44" s="15"/>
      <c r="AY44" s="136">
        <v>2849.5146107191099</v>
      </c>
      <c r="AZ44" s="125">
        <v>7.5720027726892083E-2</v>
      </c>
      <c r="BA44" s="15"/>
      <c r="BB44" s="136">
        <v>2849.5146107191099</v>
      </c>
      <c r="BC44" s="131">
        <v>0.31929155290293404</v>
      </c>
      <c r="BD44" s="15"/>
      <c r="BE44" s="136">
        <v>2849.5146107191099</v>
      </c>
      <c r="BF44" s="18">
        <v>26.496940687618562</v>
      </c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</row>
    <row r="45" spans="1:71" ht="14.5" x14ac:dyDescent="0.35">
      <c r="A45" s="7">
        <v>44</v>
      </c>
      <c r="B45" s="23" t="s">
        <v>327</v>
      </c>
      <c r="C45" s="132">
        <v>1</v>
      </c>
      <c r="D45" s="132">
        <v>1.8537799699849999</v>
      </c>
      <c r="E45" s="132">
        <v>0.77680636439700401</v>
      </c>
      <c r="F45" s="133">
        <v>2.9307535755729899</v>
      </c>
      <c r="G45" s="23">
        <v>1.13983026102245</v>
      </c>
      <c r="H45" s="132">
        <v>0.62008550102316895</v>
      </c>
      <c r="I45" s="134">
        <v>1</v>
      </c>
      <c r="J45" s="135">
        <v>19059479</v>
      </c>
      <c r="K45" s="134">
        <v>2023</v>
      </c>
      <c r="L45" s="136">
        <v>350775856415.18903</v>
      </c>
      <c r="M45" s="132">
        <v>2023</v>
      </c>
      <c r="N45" s="136">
        <v>18404.273087170401</v>
      </c>
      <c r="O45" s="133">
        <v>2023</v>
      </c>
      <c r="P45" s="136">
        <v>317457837695.98297</v>
      </c>
      <c r="Q45" s="132">
        <v>2023</v>
      </c>
      <c r="R45" s="132">
        <v>16660</v>
      </c>
      <c r="S45" s="134">
        <v>2023</v>
      </c>
      <c r="T45" s="17">
        <v>33.9</v>
      </c>
      <c r="U45" s="133">
        <v>2021</v>
      </c>
      <c r="V45" s="23">
        <v>10.3971874764996</v>
      </c>
      <c r="W45" s="134">
        <v>2023</v>
      </c>
      <c r="X45" s="143">
        <v>7.9</v>
      </c>
      <c r="Y45" s="144">
        <v>2021</v>
      </c>
      <c r="Z45" s="135">
        <f t="shared" ref="Z45:AB45" si="58">(AJ45*40)* 48</f>
        <v>417111761.73162067</v>
      </c>
      <c r="AA45" s="135">
        <f t="shared" si="58"/>
        <v>226915326.43114695</v>
      </c>
      <c r="AB45" s="138">
        <f t="shared" si="58"/>
        <v>644027088.16276765</v>
      </c>
      <c r="AC45" s="18">
        <f t="shared" si="1"/>
        <v>11.905641619644847</v>
      </c>
      <c r="AD45" s="120">
        <f t="shared" si="2"/>
        <v>3295182917.6798034</v>
      </c>
      <c r="AE45" s="121">
        <f t="shared" si="3"/>
        <v>1792631078.806061</v>
      </c>
      <c r="AF45" s="122">
        <f t="shared" si="4"/>
        <v>5087813996.4858646</v>
      </c>
      <c r="AG45" s="123">
        <f t="shared" si="5"/>
        <v>9.3939843846593714E-3</v>
      </c>
      <c r="AH45" s="124">
        <f t="shared" si="6"/>
        <v>5.1104745267423653E-3</v>
      </c>
      <c r="AI45" s="125">
        <f t="shared" si="7"/>
        <v>1.4504458911401737E-2</v>
      </c>
      <c r="AJ45" s="139">
        <v>217245.70923521911</v>
      </c>
      <c r="AK45" s="140">
        <v>118185.0658495557</v>
      </c>
      <c r="AL45" s="140">
        <f t="shared" si="8"/>
        <v>335430.77508477482</v>
      </c>
      <c r="AM45" s="131">
        <f t="shared" si="53"/>
        <v>0.35233817117611316</v>
      </c>
      <c r="AN45" s="129">
        <f t="shared" si="9"/>
        <v>0.64766182882388679</v>
      </c>
      <c r="AO45" s="130">
        <f t="shared" si="10"/>
        <v>0.35233817117611316</v>
      </c>
      <c r="AP45" s="19" t="s">
        <v>57</v>
      </c>
      <c r="AQ45" s="20" t="s">
        <v>328</v>
      </c>
      <c r="AR45" s="20">
        <v>26.097899999999999</v>
      </c>
      <c r="AS45" s="20">
        <v>44.447899999999997</v>
      </c>
      <c r="AT45" s="21" t="s">
        <v>247</v>
      </c>
      <c r="AU45" s="22" t="s">
        <v>60</v>
      </c>
      <c r="AV45" s="15"/>
      <c r="AW45" s="15"/>
      <c r="AX45" s="15"/>
      <c r="AY45" s="136">
        <v>2530.8465930172301</v>
      </c>
      <c r="AZ45" s="125">
        <v>3.9501588984536873E-2</v>
      </c>
      <c r="BA45" s="15"/>
      <c r="BB45" s="136">
        <v>2530.8465930172301</v>
      </c>
      <c r="BC45" s="131">
        <v>0.40771129424442598</v>
      </c>
      <c r="BD45" s="15"/>
      <c r="BE45" s="136">
        <v>2530.8465930172301</v>
      </c>
      <c r="BF45" s="18">
        <v>22.821893521929216</v>
      </c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</row>
    <row r="46" spans="1:71" ht="14.5" x14ac:dyDescent="0.35">
      <c r="A46" s="7">
        <v>45</v>
      </c>
      <c r="B46" s="23" t="s">
        <v>183</v>
      </c>
      <c r="C46" s="132">
        <v>1.2666244458517999</v>
      </c>
      <c r="D46" s="132">
        <v>2.9328474596972098</v>
      </c>
      <c r="E46" s="132">
        <v>0.14127622529227901</v>
      </c>
      <c r="F46" s="133">
        <v>5.7244186941021402</v>
      </c>
      <c r="G46" s="23">
        <v>1.8144439830325001</v>
      </c>
      <c r="H46" s="132">
        <v>0.90727174788228904</v>
      </c>
      <c r="I46" s="134">
        <v>1.2666244458517999</v>
      </c>
      <c r="J46" s="135">
        <v>143826130</v>
      </c>
      <c r="K46" s="134">
        <v>2023</v>
      </c>
      <c r="L46" s="136">
        <v>2021421476035.4199</v>
      </c>
      <c r="M46" s="132">
        <v>2023</v>
      </c>
      <c r="N46" s="136">
        <v>13817.0458984375</v>
      </c>
      <c r="O46" s="133">
        <v>2023</v>
      </c>
      <c r="P46" s="136">
        <v>2084846945053.29</v>
      </c>
      <c r="Q46" s="132">
        <v>2023</v>
      </c>
      <c r="R46" s="132">
        <v>14250</v>
      </c>
      <c r="S46" s="134">
        <v>2023</v>
      </c>
      <c r="T46" s="17">
        <v>35.1</v>
      </c>
      <c r="U46" s="133">
        <v>2021</v>
      </c>
      <c r="V46" s="23">
        <v>6.6944589195761202</v>
      </c>
      <c r="W46" s="134">
        <v>2021</v>
      </c>
      <c r="X46" s="143">
        <v>4.5999999999999996</v>
      </c>
      <c r="Y46" s="144">
        <v>2021</v>
      </c>
      <c r="Z46" s="135">
        <f t="shared" ref="Z46:AB46" si="59">(AJ46*40)* 48</f>
        <v>5010517558.6819239</v>
      </c>
      <c r="AA46" s="135">
        <f t="shared" si="59"/>
        <v>2505396179.6399097</v>
      </c>
      <c r="AB46" s="138">
        <f t="shared" si="59"/>
        <v>7515913738.3218346</v>
      </c>
      <c r="AC46" s="18">
        <f t="shared" si="1"/>
        <v>17.419617559339947</v>
      </c>
      <c r="AD46" s="120">
        <f t="shared" si="2"/>
        <v>23048380769.936848</v>
      </c>
      <c r="AE46" s="121">
        <f t="shared" si="3"/>
        <v>11524822426.343584</v>
      </c>
      <c r="AF46" s="122">
        <f t="shared" si="4"/>
        <v>34573203196.280434</v>
      </c>
      <c r="AG46" s="123">
        <f t="shared" si="5"/>
        <v>1.1402065844843625E-2</v>
      </c>
      <c r="AH46" s="124">
        <f t="shared" si="6"/>
        <v>5.7013455941642734E-3</v>
      </c>
      <c r="AI46" s="125">
        <f t="shared" si="7"/>
        <v>1.7103411439007898E-2</v>
      </c>
      <c r="AJ46" s="139">
        <v>2609644.5618135021</v>
      </c>
      <c r="AK46" s="140">
        <v>1304893.8435624531</v>
      </c>
      <c r="AL46" s="140">
        <f t="shared" si="8"/>
        <v>3914538.4053759552</v>
      </c>
      <c r="AM46" s="131">
        <f t="shared" si="53"/>
        <v>0.33334552083341484</v>
      </c>
      <c r="AN46" s="129">
        <f t="shared" si="9"/>
        <v>0.66665447916658516</v>
      </c>
      <c r="AO46" s="130">
        <f t="shared" si="10"/>
        <v>0.33334552083341484</v>
      </c>
      <c r="AP46" s="19" t="s">
        <v>57</v>
      </c>
      <c r="AQ46" s="20" t="s">
        <v>184</v>
      </c>
      <c r="AR46" s="20">
        <v>37.617600000000003</v>
      </c>
      <c r="AS46" s="20">
        <v>55.755800000000001</v>
      </c>
      <c r="AT46" s="21" t="s">
        <v>152</v>
      </c>
      <c r="AU46" s="22" t="s">
        <v>60</v>
      </c>
      <c r="AV46" s="15"/>
      <c r="AW46" s="15"/>
      <c r="AX46" s="15"/>
      <c r="AY46" s="136">
        <v>52642.426748630802</v>
      </c>
      <c r="AZ46" s="125">
        <v>7.7848346256318021E-2</v>
      </c>
      <c r="BA46" s="15"/>
      <c r="BB46" s="136">
        <v>52642.426748630802</v>
      </c>
      <c r="BC46" s="131">
        <v>0.2236718703791134</v>
      </c>
      <c r="BD46" s="15"/>
      <c r="BE46" s="136">
        <v>52642.426748630802</v>
      </c>
      <c r="BF46" s="18">
        <v>53.292760310507731</v>
      </c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</row>
    <row r="47" spans="1:71" ht="14.5" x14ac:dyDescent="0.35">
      <c r="A47" s="7">
        <v>46</v>
      </c>
      <c r="B47" s="23" t="s">
        <v>165</v>
      </c>
      <c r="C47" s="132"/>
      <c r="D47" s="132">
        <v>3.3580725430633498</v>
      </c>
      <c r="E47" s="132">
        <v>2.4487174382061498</v>
      </c>
      <c r="F47" s="133">
        <v>4.26742764792054</v>
      </c>
      <c r="G47" s="23">
        <v>2.2923672105592701</v>
      </c>
      <c r="H47" s="132">
        <v>1.0912087960469601</v>
      </c>
      <c r="I47" s="134">
        <v>3.3580725430633498</v>
      </c>
      <c r="J47" s="135">
        <v>6623183</v>
      </c>
      <c r="K47" s="134">
        <v>2023</v>
      </c>
      <c r="L47" s="136">
        <v>81342660752.373199</v>
      </c>
      <c r="M47" s="132">
        <v>2023</v>
      </c>
      <c r="N47" s="136">
        <v>12281.5058488303</v>
      </c>
      <c r="O47" s="133">
        <v>2023</v>
      </c>
      <c r="P47" s="136">
        <v>71266837701.770798</v>
      </c>
      <c r="Q47" s="132">
        <v>2023</v>
      </c>
      <c r="R47" s="132">
        <v>10760</v>
      </c>
      <c r="S47" s="134">
        <v>2023</v>
      </c>
      <c r="T47" s="17">
        <v>33.1</v>
      </c>
      <c r="U47" s="133">
        <v>2021</v>
      </c>
      <c r="V47" s="23">
        <v>12.3719043552519</v>
      </c>
      <c r="W47" s="134">
        <v>2023</v>
      </c>
      <c r="X47" s="143">
        <v>4.0999999999999996</v>
      </c>
      <c r="Y47" s="144">
        <v>2018</v>
      </c>
      <c r="Z47" s="135">
        <f t="shared" ref="Z47:AB47" si="60">(AJ47*40)* 48</f>
        <v>291509136.74368477</v>
      </c>
      <c r="AA47" s="135">
        <f t="shared" si="60"/>
        <v>138763690.51063091</v>
      </c>
      <c r="AB47" s="138">
        <f t="shared" si="60"/>
        <v>430272827.25431567</v>
      </c>
      <c r="AC47" s="18">
        <f t="shared" si="1"/>
        <v>20.951208884101632</v>
      </c>
      <c r="AD47" s="120">
        <f t="shared" si="2"/>
        <v>1195187460.6491075</v>
      </c>
      <c r="AE47" s="121">
        <f t="shared" si="3"/>
        <v>568931131.09358668</v>
      </c>
      <c r="AF47" s="122">
        <f t="shared" si="4"/>
        <v>1764118591.7426941</v>
      </c>
      <c r="AG47" s="123">
        <f t="shared" si="5"/>
        <v>1.4693242753486368E-2</v>
      </c>
      <c r="AH47" s="124">
        <f t="shared" si="6"/>
        <v>6.9942527799225938E-3</v>
      </c>
      <c r="AI47" s="125">
        <f t="shared" si="7"/>
        <v>2.168749553340896E-2</v>
      </c>
      <c r="AJ47" s="139">
        <v>151827.6753873358</v>
      </c>
      <c r="AK47" s="140">
        <v>72272.755474286925</v>
      </c>
      <c r="AL47" s="140">
        <f t="shared" si="8"/>
        <v>224100.43086162274</v>
      </c>
      <c r="AM47" s="131">
        <f t="shared" si="53"/>
        <v>0.32250163552302058</v>
      </c>
      <c r="AN47" s="129">
        <f t="shared" si="9"/>
        <v>0.67749836447697942</v>
      </c>
      <c r="AO47" s="130">
        <f t="shared" si="10"/>
        <v>0.32250163552302058</v>
      </c>
      <c r="AP47" s="19" t="s">
        <v>57</v>
      </c>
      <c r="AQ47" s="20" t="s">
        <v>166</v>
      </c>
      <c r="AR47" s="20">
        <v>20.465599999999998</v>
      </c>
      <c r="AS47" s="20">
        <v>44.802399999999999</v>
      </c>
      <c r="AT47" s="21" t="s">
        <v>152</v>
      </c>
      <c r="AU47" s="22" t="s">
        <v>60</v>
      </c>
      <c r="AV47" s="15"/>
      <c r="AW47" s="15"/>
      <c r="AX47" s="15"/>
      <c r="AY47" s="136">
        <v>2120.8232035895298</v>
      </c>
      <c r="AZ47" s="125">
        <v>9.4337673674950315E-2</v>
      </c>
      <c r="BA47" s="15"/>
      <c r="BB47" s="136">
        <v>2120.8232035895298</v>
      </c>
      <c r="BC47" s="131">
        <v>0.3141677030111944</v>
      </c>
      <c r="BD47" s="15"/>
      <c r="BE47" s="136">
        <v>2120.8232035895298</v>
      </c>
      <c r="BF47" s="18">
        <v>19.04746681999131</v>
      </c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</row>
    <row r="48" spans="1:71" ht="14.5" x14ac:dyDescent="0.35">
      <c r="A48" s="7">
        <v>47</v>
      </c>
      <c r="B48" s="23" t="s">
        <v>245</v>
      </c>
      <c r="C48" s="132">
        <v>1.7</v>
      </c>
      <c r="D48" s="132">
        <v>3.29838128650464</v>
      </c>
      <c r="E48" s="132">
        <v>0.60510672140636601</v>
      </c>
      <c r="F48" s="133">
        <v>5.9916558516029204</v>
      </c>
      <c r="G48" s="23">
        <v>2.40851516439584</v>
      </c>
      <c r="H48" s="132">
        <v>0.77259264009802797</v>
      </c>
      <c r="I48" s="134">
        <v>1.7</v>
      </c>
      <c r="J48" s="135">
        <v>5426740</v>
      </c>
      <c r="K48" s="134">
        <v>2023</v>
      </c>
      <c r="L48" s="136">
        <v>132908336234.295</v>
      </c>
      <c r="M48" s="132">
        <v>2023</v>
      </c>
      <c r="N48" s="136">
        <v>24491.3771867262</v>
      </c>
      <c r="O48" s="133">
        <v>2023</v>
      </c>
      <c r="P48" s="136">
        <v>123670547880.187</v>
      </c>
      <c r="Q48" s="132">
        <v>2023</v>
      </c>
      <c r="R48" s="132">
        <v>22790</v>
      </c>
      <c r="S48" s="134">
        <v>2023</v>
      </c>
      <c r="T48" s="17">
        <v>24.1</v>
      </c>
      <c r="U48" s="133">
        <v>2021</v>
      </c>
      <c r="V48" s="23">
        <v>10.5319476645211</v>
      </c>
      <c r="W48" s="134">
        <v>2023</v>
      </c>
      <c r="X48" s="143">
        <v>9.6</v>
      </c>
      <c r="Y48" s="144">
        <v>2022</v>
      </c>
      <c r="Z48" s="135">
        <f t="shared" ref="Z48:AB48" si="61">(AJ48*40)* 48</f>
        <v>250951403.1980828</v>
      </c>
      <c r="AA48" s="135">
        <f t="shared" si="61"/>
        <v>80499060.167530984</v>
      </c>
      <c r="AB48" s="138">
        <f t="shared" si="61"/>
        <v>331450463.36561376</v>
      </c>
      <c r="AC48" s="18">
        <f t="shared" si="1"/>
        <v>14.833778689882136</v>
      </c>
      <c r="AD48" s="120">
        <f t="shared" si="2"/>
        <v>2409133470.7015948</v>
      </c>
      <c r="AE48" s="121">
        <f t="shared" si="3"/>
        <v>772790977.60829747</v>
      </c>
      <c r="AF48" s="122">
        <f t="shared" si="4"/>
        <v>3181924448.3098922</v>
      </c>
      <c r="AG48" s="123">
        <f t="shared" si="5"/>
        <v>1.8126278147479767E-2</v>
      </c>
      <c r="AH48" s="124">
        <f t="shared" si="6"/>
        <v>5.814465815342066E-3</v>
      </c>
      <c r="AI48" s="125">
        <f t="shared" si="7"/>
        <v>2.3940743962821833E-2</v>
      </c>
      <c r="AJ48" s="139">
        <v>130703.8558323348</v>
      </c>
      <c r="AK48" s="140">
        <v>41926.593837255721</v>
      </c>
      <c r="AL48" s="140">
        <f t="shared" si="8"/>
        <v>172630.44966959051</v>
      </c>
      <c r="AM48" s="131">
        <f t="shared" si="53"/>
        <v>0.24286905304076983</v>
      </c>
      <c r="AN48" s="129">
        <f t="shared" si="9"/>
        <v>0.75713094695923022</v>
      </c>
      <c r="AO48" s="130">
        <f t="shared" si="10"/>
        <v>0.24286905304076981</v>
      </c>
      <c r="AP48" s="32" t="s">
        <v>57</v>
      </c>
      <c r="AQ48" s="20" t="s">
        <v>246</v>
      </c>
      <c r="AR48" s="20">
        <v>17.107299999999999</v>
      </c>
      <c r="AS48" s="20">
        <v>48.148400000000002</v>
      </c>
      <c r="AT48" s="33" t="s">
        <v>247</v>
      </c>
      <c r="AU48" s="15" t="s">
        <v>248</v>
      </c>
      <c r="AV48" s="15"/>
      <c r="AW48" s="15"/>
      <c r="AX48" s="15"/>
      <c r="AY48" s="136">
        <v>869.27023428699204</v>
      </c>
      <c r="AZ48" s="125">
        <v>5.2381858200904449E-2</v>
      </c>
      <c r="BA48" s="15"/>
      <c r="BB48" s="136">
        <v>869.27023428699204</v>
      </c>
      <c r="BC48" s="131">
        <v>0.43313355814300114</v>
      </c>
      <c r="BD48" s="15"/>
      <c r="BE48" s="136">
        <v>869.27023428699204</v>
      </c>
      <c r="BF48" s="18">
        <v>24.591395474334142</v>
      </c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</row>
    <row r="49" spans="1:71" ht="14.5" x14ac:dyDescent="0.35">
      <c r="A49" s="7">
        <v>48</v>
      </c>
      <c r="B49" s="23" t="s">
        <v>249</v>
      </c>
      <c r="C49" s="132">
        <v>6.8</v>
      </c>
      <c r="D49" s="132">
        <v>6.0608009667823097</v>
      </c>
      <c r="E49" s="132">
        <v>5.2374046106464798</v>
      </c>
      <c r="F49" s="133">
        <v>6.8841973229181397</v>
      </c>
      <c r="G49" s="23">
        <v>4.6130956318511798</v>
      </c>
      <c r="H49" s="132">
        <v>1.5986605556561799</v>
      </c>
      <c r="I49" s="134">
        <v>6.8</v>
      </c>
      <c r="J49" s="135">
        <v>2120461</v>
      </c>
      <c r="K49" s="134">
        <v>2023</v>
      </c>
      <c r="L49" s="136">
        <v>69148468417.320801</v>
      </c>
      <c r="M49" s="132">
        <v>2023</v>
      </c>
      <c r="N49" s="136">
        <v>32610.110922729</v>
      </c>
      <c r="O49" s="133">
        <v>2023</v>
      </c>
      <c r="P49" s="136">
        <v>65430251099.105598</v>
      </c>
      <c r="Q49" s="132">
        <v>2023</v>
      </c>
      <c r="R49" s="132">
        <v>30860</v>
      </c>
      <c r="S49" s="134">
        <v>2023</v>
      </c>
      <c r="T49" s="17">
        <v>24.3</v>
      </c>
      <c r="U49" s="133">
        <v>2021</v>
      </c>
      <c r="V49" s="23">
        <v>7.4468771738583799</v>
      </c>
      <c r="W49" s="134">
        <v>2023</v>
      </c>
      <c r="X49" s="143">
        <v>11.8</v>
      </c>
      <c r="Y49" s="144">
        <v>2018</v>
      </c>
      <c r="Z49" s="135">
        <f t="shared" ref="Z49:AB49" si="62">(AJ49*40)* 48</f>
        <v>187812276.03092706</v>
      </c>
      <c r="AA49" s="135">
        <f t="shared" si="62"/>
        <v>65086029.321739353</v>
      </c>
      <c r="AB49" s="138">
        <f t="shared" si="62"/>
        <v>252898305.35266644</v>
      </c>
      <c r="AC49" s="18">
        <f t="shared" si="1"/>
        <v>30.694282668598646</v>
      </c>
      <c r="AD49" s="120">
        <f t="shared" si="2"/>
        <v>2216184857.1649394</v>
      </c>
      <c r="AE49" s="121">
        <f t="shared" si="3"/>
        <v>768015145.99652445</v>
      </c>
      <c r="AF49" s="122">
        <f t="shared" si="4"/>
        <v>2984200003.1614637</v>
      </c>
      <c r="AG49" s="123">
        <f t="shared" si="5"/>
        <v>3.20496593473329E-2</v>
      </c>
      <c r="AH49" s="124">
        <f t="shared" si="6"/>
        <v>1.1106755703704735E-2</v>
      </c>
      <c r="AI49" s="125">
        <f t="shared" si="7"/>
        <v>4.3156415051037636E-2</v>
      </c>
      <c r="AJ49" s="139">
        <v>97818.893766107853</v>
      </c>
      <c r="AK49" s="140">
        <v>33898.973605072577</v>
      </c>
      <c r="AL49" s="140">
        <f t="shared" si="8"/>
        <v>131717.86737118044</v>
      </c>
      <c r="AM49" s="131">
        <f t="shared" si="53"/>
        <v>0.25736048025698299</v>
      </c>
      <c r="AN49" s="129">
        <f t="shared" si="9"/>
        <v>0.74263951974301701</v>
      </c>
      <c r="AO49" s="130">
        <f t="shared" si="10"/>
        <v>0.25736048025698288</v>
      </c>
      <c r="AP49" s="19" t="s">
        <v>57</v>
      </c>
      <c r="AQ49" s="20" t="s">
        <v>250</v>
      </c>
      <c r="AR49" s="20">
        <v>14.5044</v>
      </c>
      <c r="AS49" s="20">
        <v>46.054600000000001</v>
      </c>
      <c r="AT49" s="21" t="s">
        <v>247</v>
      </c>
      <c r="AU49" s="22" t="s">
        <v>248</v>
      </c>
      <c r="AV49" s="15"/>
      <c r="AW49" s="15"/>
      <c r="AX49" s="15"/>
      <c r="AY49" s="136">
        <v>1377.6260357129199</v>
      </c>
      <c r="AZ49" s="125">
        <v>3.3194309025507636E-2</v>
      </c>
      <c r="BB49" s="136">
        <v>1377.6260357129199</v>
      </c>
      <c r="BC49" s="131">
        <v>0.32486915009026213</v>
      </c>
      <c r="BE49" s="136">
        <v>1377.6260357129199</v>
      </c>
      <c r="BF49" s="18">
        <v>13.93626006895613</v>
      </c>
    </row>
    <row r="50" spans="1:71" ht="14.5" x14ac:dyDescent="0.35">
      <c r="A50" s="7">
        <v>49</v>
      </c>
      <c r="B50" s="23" t="s">
        <v>329</v>
      </c>
      <c r="C50" s="132">
        <v>8.1</v>
      </c>
      <c r="D50" s="132">
        <v>8.3306649553037904</v>
      </c>
      <c r="E50" s="132">
        <v>7.40201528571981</v>
      </c>
      <c r="F50" s="133">
        <v>9.2593146248877698</v>
      </c>
      <c r="G50" s="23">
        <v>6.6747031225025104</v>
      </c>
      <c r="H50" s="132">
        <v>2.2417034845288999</v>
      </c>
      <c r="I50" s="134">
        <v>8.1</v>
      </c>
      <c r="J50" s="135">
        <v>48347910</v>
      </c>
      <c r="K50" s="134">
        <v>2023</v>
      </c>
      <c r="L50" s="136">
        <v>1620090734956.8899</v>
      </c>
      <c r="M50" s="132">
        <v>2023</v>
      </c>
      <c r="N50" s="136">
        <v>33509.012798213902</v>
      </c>
      <c r="O50" s="133">
        <v>2023</v>
      </c>
      <c r="P50" s="136">
        <v>1587224535631.8701</v>
      </c>
      <c r="Q50" s="132">
        <v>2023</v>
      </c>
      <c r="R50" s="132">
        <v>32830</v>
      </c>
      <c r="S50" s="134">
        <v>2023</v>
      </c>
      <c r="T50" s="17">
        <v>33.9</v>
      </c>
      <c r="U50" s="133">
        <v>2021</v>
      </c>
      <c r="V50" s="23">
        <v>3.5323613349243299</v>
      </c>
      <c r="W50" s="134">
        <v>2023</v>
      </c>
      <c r="X50" s="143">
        <v>20.100000000000001</v>
      </c>
      <c r="Y50" s="144">
        <v>2021</v>
      </c>
      <c r="Z50" s="135">
        <f t="shared" ref="Z50:AB50" si="63">(AJ50*40)* 48</f>
        <v>6195992560.1946325</v>
      </c>
      <c r="AA50" s="135">
        <f t="shared" si="63"/>
        <v>2080928223.6804407</v>
      </c>
      <c r="AB50" s="138">
        <f t="shared" si="63"/>
        <v>8276920783.8750725</v>
      </c>
      <c r="AC50" s="18">
        <f t="shared" si="1"/>
        <v>43.040706902954867</v>
      </c>
      <c r="AD50" s="120">
        <f t="shared" si="2"/>
        <v>124539450459.91212</v>
      </c>
      <c r="AE50" s="121">
        <f t="shared" si="3"/>
        <v>41826657295.97686</v>
      </c>
      <c r="AF50" s="122">
        <f t="shared" si="4"/>
        <v>166366107755.88898</v>
      </c>
      <c r="AG50" s="123">
        <f t="shared" si="5"/>
        <v>7.6871898451555606E-2</v>
      </c>
      <c r="AH50" s="124">
        <f t="shared" si="6"/>
        <v>2.581747823963073E-2</v>
      </c>
      <c r="AI50" s="125">
        <f t="shared" si="7"/>
        <v>0.10268937669118633</v>
      </c>
      <c r="AJ50" s="139">
        <v>3227079.4584347042</v>
      </c>
      <c r="AK50" s="140">
        <v>1083816.7831668961</v>
      </c>
      <c r="AL50" s="140">
        <f t="shared" si="8"/>
        <v>4310896.2416016003</v>
      </c>
      <c r="AM50" s="131">
        <f t="shared" si="53"/>
        <v>0.25141333087716172</v>
      </c>
      <c r="AN50" s="129">
        <f t="shared" si="9"/>
        <v>0.74858666912283822</v>
      </c>
      <c r="AO50" s="130">
        <f t="shared" si="10"/>
        <v>0.25141333087716172</v>
      </c>
      <c r="AP50" s="19" t="s">
        <v>57</v>
      </c>
      <c r="AQ50" s="20" t="s">
        <v>330</v>
      </c>
      <c r="AR50" s="20">
        <v>-3.7032699999999998</v>
      </c>
      <c r="AS50" s="20">
        <v>40.416699999999999</v>
      </c>
      <c r="AT50" s="21" t="s">
        <v>247</v>
      </c>
      <c r="AU50" s="22" t="s">
        <v>248</v>
      </c>
      <c r="AV50" s="15"/>
      <c r="AW50" s="15"/>
      <c r="AX50" s="15"/>
      <c r="AY50" s="136">
        <v>39003.316095412301</v>
      </c>
      <c r="AZ50" s="125">
        <v>5.8425224293235087E-2</v>
      </c>
      <c r="BA50" s="15"/>
      <c r="BB50" s="136">
        <v>39003.316095412301</v>
      </c>
      <c r="BC50" s="131">
        <v>0.28151288500173266</v>
      </c>
      <c r="BD50" s="15"/>
      <c r="BE50" s="136">
        <v>39003.316095412301</v>
      </c>
      <c r="BF50" s="18">
        <v>53.056424264638075</v>
      </c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</row>
    <row r="51" spans="1:71" ht="14.5" x14ac:dyDescent="0.35">
      <c r="A51" s="7">
        <v>50</v>
      </c>
      <c r="B51" s="23" t="s">
        <v>279</v>
      </c>
      <c r="C51" s="132">
        <v>13.4</v>
      </c>
      <c r="D51" s="132">
        <v>12.8523091938383</v>
      </c>
      <c r="E51" s="132">
        <v>11.8153603886129</v>
      </c>
      <c r="F51" s="133">
        <v>13.8892579990637</v>
      </c>
      <c r="G51" s="23">
        <v>7.4177987472117399</v>
      </c>
      <c r="H51" s="132">
        <v>5.8475829759907203</v>
      </c>
      <c r="I51" s="134">
        <v>13.4</v>
      </c>
      <c r="J51" s="135">
        <v>10536632</v>
      </c>
      <c r="K51" s="134">
        <v>2023</v>
      </c>
      <c r="L51" s="136">
        <v>584960475767.31995</v>
      </c>
      <c r="M51" s="132">
        <v>2023</v>
      </c>
      <c r="N51" s="136">
        <v>55516.836477473997</v>
      </c>
      <c r="O51" s="133">
        <v>2023</v>
      </c>
      <c r="P51" s="136">
        <v>637220146302.21204</v>
      </c>
      <c r="Q51" s="132">
        <v>2023</v>
      </c>
      <c r="R51" s="132">
        <v>60480</v>
      </c>
      <c r="S51" s="134">
        <v>2023</v>
      </c>
      <c r="T51" s="17">
        <v>29.8</v>
      </c>
      <c r="U51" s="133">
        <v>2021</v>
      </c>
      <c r="V51" s="23">
        <v>8.5486248974890202</v>
      </c>
      <c r="W51" s="134">
        <v>2023</v>
      </c>
      <c r="X51" s="143">
        <v>21.7</v>
      </c>
      <c r="Y51" s="144">
        <v>2022</v>
      </c>
      <c r="Z51" s="135">
        <f t="shared" ref="Z51:AB51" si="64">(AJ51*40)* 48</f>
        <v>1500645420.4690776</v>
      </c>
      <c r="AA51" s="135">
        <f t="shared" si="64"/>
        <v>1182985534.2235978</v>
      </c>
      <c r="AB51" s="138">
        <f t="shared" si="64"/>
        <v>2683630954.6926756</v>
      </c>
      <c r="AC51" s="18">
        <f t="shared" si="1"/>
        <v>112.27359313902183</v>
      </c>
      <c r="AD51" s="120">
        <f t="shared" si="2"/>
        <v>32564005624.178982</v>
      </c>
      <c r="AE51" s="121">
        <f t="shared" si="3"/>
        <v>25670786092.652069</v>
      </c>
      <c r="AF51" s="122">
        <f t="shared" si="4"/>
        <v>58234791716.831055</v>
      </c>
      <c r="AG51" s="123">
        <f t="shared" si="5"/>
        <v>5.5668728013569216E-2</v>
      </c>
      <c r="AH51" s="124">
        <f t="shared" si="6"/>
        <v>4.3884650597937412E-2</v>
      </c>
      <c r="AI51" s="125">
        <f t="shared" si="7"/>
        <v>9.9553378611506621E-2</v>
      </c>
      <c r="AJ51" s="139">
        <v>781586.15649431129</v>
      </c>
      <c r="AK51" s="140">
        <v>616138.29907479056</v>
      </c>
      <c r="AL51" s="140">
        <f t="shared" si="8"/>
        <v>1397724.455569102</v>
      </c>
      <c r="AM51" s="131">
        <f t="shared" si="53"/>
        <v>0.4408152813094493</v>
      </c>
      <c r="AN51" s="129">
        <f t="shared" si="9"/>
        <v>0.55918471869055064</v>
      </c>
      <c r="AO51" s="130">
        <f t="shared" si="10"/>
        <v>0.4408152813094493</v>
      </c>
      <c r="AP51" s="19" t="s">
        <v>57</v>
      </c>
      <c r="AQ51" s="20" t="s">
        <v>280</v>
      </c>
      <c r="AR51" s="20">
        <v>18.064499999999999</v>
      </c>
      <c r="AS51" s="20">
        <v>59.332700000000003</v>
      </c>
      <c r="AT51" s="21" t="s">
        <v>247</v>
      </c>
      <c r="AU51" s="22" t="s">
        <v>248</v>
      </c>
      <c r="AV51" s="15"/>
      <c r="AW51" s="15"/>
      <c r="AX51" s="15"/>
      <c r="AY51" s="136">
        <v>87925.094418839901</v>
      </c>
      <c r="AZ51" s="125">
        <v>7.9110732888968693E-2</v>
      </c>
      <c r="BA51" s="15"/>
      <c r="BB51" s="136">
        <v>87925.094418839901</v>
      </c>
      <c r="BC51" s="131">
        <v>0.52958476626526529</v>
      </c>
      <c r="BD51" s="15"/>
      <c r="BE51" s="136">
        <v>87925.094418839901</v>
      </c>
      <c r="BF51" s="18">
        <v>104.65044314225703</v>
      </c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</row>
    <row r="52" spans="1:71" ht="14.5" x14ac:dyDescent="0.35">
      <c r="A52" s="7">
        <v>51</v>
      </c>
      <c r="B52" s="23" t="s">
        <v>325</v>
      </c>
      <c r="C52" s="132">
        <v>7.2448551028979402</v>
      </c>
      <c r="D52" s="132">
        <v>9.1022244550143299</v>
      </c>
      <c r="E52" s="132">
        <v>6.40457760295818</v>
      </c>
      <c r="F52" s="133">
        <v>11.7998713070705</v>
      </c>
      <c r="G52" s="23">
        <v>5.8241235079392597</v>
      </c>
      <c r="H52" s="132">
        <v>3.5702484856066601</v>
      </c>
      <c r="I52" s="134">
        <v>7.2448551028979402</v>
      </c>
      <c r="J52" s="135">
        <v>8888093</v>
      </c>
      <c r="K52" s="134">
        <v>2023</v>
      </c>
      <c r="L52" s="136">
        <v>884940402230.40906</v>
      </c>
      <c r="M52" s="132">
        <v>2023</v>
      </c>
      <c r="N52" s="136">
        <v>99564.710026144996</v>
      </c>
      <c r="O52" s="133">
        <v>2023</v>
      </c>
      <c r="P52" s="136">
        <v>845028474559.245</v>
      </c>
      <c r="Q52" s="132">
        <v>2023</v>
      </c>
      <c r="R52" s="132">
        <v>95070</v>
      </c>
      <c r="S52" s="134">
        <v>2023</v>
      </c>
      <c r="T52" s="17">
        <v>33.700000000000003</v>
      </c>
      <c r="U52" s="133">
        <v>2020</v>
      </c>
      <c r="V52" s="23">
        <v>2.1354008801637701</v>
      </c>
      <c r="W52" s="134">
        <v>2023</v>
      </c>
      <c r="X52" s="137">
        <v>49.802999999999997</v>
      </c>
      <c r="Y52" s="133">
        <v>2023</v>
      </c>
      <c r="Z52" s="135">
        <f t="shared" ref="Z52:AB52" si="65">(AJ52*40)* 48</f>
        <v>993894746.53536725</v>
      </c>
      <c r="AA52" s="135">
        <f t="shared" si="65"/>
        <v>609267851.0050782</v>
      </c>
      <c r="AB52" s="138">
        <f t="shared" si="65"/>
        <v>1603162597.5404456</v>
      </c>
      <c r="AC52" s="18">
        <f t="shared" si="1"/>
        <v>68.548770923647879</v>
      </c>
      <c r="AD52" s="120">
        <f t="shared" si="2"/>
        <v>49498940061.70089</v>
      </c>
      <c r="AE52" s="121">
        <f t="shared" si="3"/>
        <v>30343366783.605907</v>
      </c>
      <c r="AF52" s="122">
        <f t="shared" si="4"/>
        <v>79842306845.306793</v>
      </c>
      <c r="AG52" s="123">
        <f t="shared" si="5"/>
        <v>5.5934772485179189E-2</v>
      </c>
      <c r="AH52" s="124">
        <f t="shared" si="6"/>
        <v>3.4288599217674215E-2</v>
      </c>
      <c r="AI52" s="125">
        <f t="shared" si="7"/>
        <v>9.0223371702853411E-2</v>
      </c>
      <c r="AJ52" s="139">
        <v>517653.51382050378</v>
      </c>
      <c r="AK52" s="140">
        <v>317327.00573181157</v>
      </c>
      <c r="AL52" s="140">
        <f t="shared" si="8"/>
        <v>834980.51955231535</v>
      </c>
      <c r="AM52" s="131">
        <f t="shared" si="53"/>
        <v>0.38004120850861312</v>
      </c>
      <c r="AN52" s="129">
        <f t="shared" si="9"/>
        <v>0.61995879149138688</v>
      </c>
      <c r="AO52" s="130">
        <f t="shared" si="10"/>
        <v>0.38004120850861312</v>
      </c>
      <c r="AP52" s="19" t="s">
        <v>57</v>
      </c>
      <c r="AQ52" s="20" t="s">
        <v>326</v>
      </c>
      <c r="AR52" s="20">
        <v>7.4482100000000004</v>
      </c>
      <c r="AS52" s="20">
        <v>46.948</v>
      </c>
      <c r="AT52" s="21" t="s">
        <v>247</v>
      </c>
      <c r="AU52" s="22" t="s">
        <v>248</v>
      </c>
      <c r="AV52" s="15"/>
      <c r="AW52" s="15"/>
      <c r="AX52" s="15"/>
      <c r="AY52" s="136">
        <v>56033.573792064999</v>
      </c>
      <c r="AZ52" s="125">
        <v>8.541030818963706E-2</v>
      </c>
      <c r="BA52" s="15"/>
      <c r="BB52" s="136">
        <v>56033.573792064999</v>
      </c>
      <c r="BC52" s="131">
        <v>0.46811058824238244</v>
      </c>
      <c r="BD52" s="15"/>
      <c r="BE52" s="136">
        <v>56033.573792064999</v>
      </c>
      <c r="BF52" s="18">
        <v>86.49824817102261</v>
      </c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</row>
    <row r="53" spans="1:71" ht="14.5" x14ac:dyDescent="0.35">
      <c r="A53" s="7">
        <v>52</v>
      </c>
      <c r="B53" s="23" t="s">
        <v>209</v>
      </c>
      <c r="C53" s="132">
        <v>1.5678076822576399</v>
      </c>
      <c r="D53" s="132">
        <v>2.2361331739438302</v>
      </c>
      <c r="E53" s="132">
        <v>1.1538440731172499</v>
      </c>
      <c r="F53" s="133">
        <v>3.31842227477041</v>
      </c>
      <c r="G53" s="23">
        <v>1.83229275274513</v>
      </c>
      <c r="H53" s="132">
        <v>0.51640884996025604</v>
      </c>
      <c r="I53" s="134">
        <v>1.5678076822576399</v>
      </c>
      <c r="J53" s="135">
        <v>85325965</v>
      </c>
      <c r="K53" s="134">
        <v>2023</v>
      </c>
      <c r="L53" s="136">
        <v>1118252964260.77</v>
      </c>
      <c r="M53" s="132">
        <v>2023</v>
      </c>
      <c r="N53" s="136">
        <v>13105.658567831901</v>
      </c>
      <c r="O53" s="133">
        <v>2023</v>
      </c>
      <c r="P53" s="136">
        <v>1000795964008.77</v>
      </c>
      <c r="Q53" s="132">
        <v>2023</v>
      </c>
      <c r="R53" s="132">
        <v>11730</v>
      </c>
      <c r="S53" s="134">
        <v>2023</v>
      </c>
      <c r="T53" s="17">
        <v>44.4</v>
      </c>
      <c r="U53" s="133">
        <v>2021</v>
      </c>
      <c r="V53" s="23">
        <v>53.859408759331501</v>
      </c>
      <c r="W53" s="134">
        <v>2023</v>
      </c>
      <c r="X53" s="137">
        <v>3.7490000000000001</v>
      </c>
      <c r="Y53" s="133">
        <v>2023</v>
      </c>
      <c r="Z53" s="135">
        <f t="shared" ref="Z53:AB53" si="66">(AJ53*40)* 48</f>
        <v>3001769227.9773045</v>
      </c>
      <c r="AA53" s="135">
        <f t="shared" si="66"/>
        <v>846011202.38206196</v>
      </c>
      <c r="AB53" s="138">
        <f t="shared" si="66"/>
        <v>3847780430.3593669</v>
      </c>
      <c r="AC53" s="18">
        <f t="shared" si="1"/>
        <v>9.9150499192369157</v>
      </c>
      <c r="AD53" s="120">
        <f t="shared" si="2"/>
        <v>11253632835.686914</v>
      </c>
      <c r="AE53" s="121">
        <f t="shared" si="3"/>
        <v>3171695997.7303505</v>
      </c>
      <c r="AF53" s="122">
        <f t="shared" si="4"/>
        <v>14425328833.417265</v>
      </c>
      <c r="AG53" s="123">
        <f t="shared" si="5"/>
        <v>1.0063584175809645E-2</v>
      </c>
      <c r="AH53" s="124">
        <f t="shared" si="6"/>
        <v>2.836295631755401E-3</v>
      </c>
      <c r="AI53" s="125">
        <f t="shared" si="7"/>
        <v>1.2899879807565046E-2</v>
      </c>
      <c r="AJ53" s="139">
        <v>1563421.4729048461</v>
      </c>
      <c r="AK53" s="140">
        <v>440630.83457399061</v>
      </c>
      <c r="AL53" s="140">
        <f t="shared" si="8"/>
        <v>2004052.3074788367</v>
      </c>
      <c r="AM53" s="131">
        <f t="shared" si="53"/>
        <v>0.21986992701219391</v>
      </c>
      <c r="AN53" s="129">
        <f t="shared" si="9"/>
        <v>0.78013007298780612</v>
      </c>
      <c r="AO53" s="130">
        <f t="shared" si="10"/>
        <v>0.21986992701219391</v>
      </c>
      <c r="AP53" s="19" t="s">
        <v>57</v>
      </c>
      <c r="AQ53" s="20" t="s">
        <v>210</v>
      </c>
      <c r="AR53" s="20">
        <v>32.360599999999998</v>
      </c>
      <c r="AS53" s="20">
        <v>39.715299999999999</v>
      </c>
      <c r="AT53" s="21" t="s">
        <v>152</v>
      </c>
      <c r="AU53" s="22" t="s">
        <v>60</v>
      </c>
      <c r="AV53" s="15"/>
      <c r="AW53" s="15"/>
      <c r="AX53" s="15"/>
      <c r="AY53" s="136">
        <v>6947.3592868196602</v>
      </c>
      <c r="AZ53" s="125">
        <v>2.1753404468709006E-2</v>
      </c>
      <c r="BA53" s="15"/>
      <c r="BB53" s="136">
        <v>6947.3592868196602</v>
      </c>
      <c r="BC53" s="131">
        <v>0.32255003286584111</v>
      </c>
      <c r="BD53" s="15"/>
      <c r="BE53" s="136">
        <v>6947.3592868196602</v>
      </c>
      <c r="BF53" s="18">
        <v>23.802037349604866</v>
      </c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</row>
    <row r="54" spans="1:71" ht="16.5" x14ac:dyDescent="0.35">
      <c r="A54" s="7">
        <v>53</v>
      </c>
      <c r="B54" s="25" t="s">
        <v>56</v>
      </c>
      <c r="C54" s="132"/>
      <c r="D54" s="132">
        <v>3.0661718662261399</v>
      </c>
      <c r="E54" s="132">
        <v>2.18422948262267</v>
      </c>
      <c r="F54" s="133">
        <v>3.94811424982962</v>
      </c>
      <c r="G54" s="23">
        <v>2.02718029129545</v>
      </c>
      <c r="H54" s="132">
        <v>0.84294259107657199</v>
      </c>
      <c r="I54" s="134">
        <v>3.0661718662261399</v>
      </c>
      <c r="J54" s="135">
        <v>37732836</v>
      </c>
      <c r="K54" s="134">
        <v>2023</v>
      </c>
      <c r="L54" s="136">
        <v>178757021965.008</v>
      </c>
      <c r="M54" s="132">
        <v>2023</v>
      </c>
      <c r="N54" s="136">
        <v>5069.703125</v>
      </c>
      <c r="O54" s="133">
        <v>2023</v>
      </c>
      <c r="P54" s="136">
        <v>174459613459.931</v>
      </c>
      <c r="Q54" s="132">
        <v>2023</v>
      </c>
      <c r="R54" s="132">
        <v>4950</v>
      </c>
      <c r="S54" s="134">
        <v>2023</v>
      </c>
      <c r="T54" s="17">
        <v>25.6</v>
      </c>
      <c r="U54" s="133">
        <v>2020</v>
      </c>
      <c r="V54" s="23">
        <v>12.8490222828559</v>
      </c>
      <c r="W54" s="134">
        <v>2023</v>
      </c>
      <c r="X54" s="141">
        <v>1.23</v>
      </c>
      <c r="Y54" s="142">
        <v>2016</v>
      </c>
      <c r="Z54" s="135">
        <f t="shared" ref="Z54:AB54" si="67">(AJ54*40)* 48</f>
        <v>1468632220.2985618</v>
      </c>
      <c r="AA54" s="135">
        <f t="shared" si="67"/>
        <v>610686999.29294133</v>
      </c>
      <c r="AB54" s="138">
        <f t="shared" si="67"/>
        <v>2079319219.5915034</v>
      </c>
      <c r="AC54" s="18">
        <f t="shared" si="1"/>
        <v>16.184497748670186</v>
      </c>
      <c r="AD54" s="120">
        <f t="shared" si="2"/>
        <v>1806417630.967231</v>
      </c>
      <c r="AE54" s="121">
        <f t="shared" si="3"/>
        <v>751145009.13031781</v>
      </c>
      <c r="AF54" s="122">
        <f t="shared" si="4"/>
        <v>2557562640.097549</v>
      </c>
      <c r="AG54" s="123">
        <f t="shared" si="5"/>
        <v>1.0105435921397486E-2</v>
      </c>
      <c r="AH54" s="124">
        <f t="shared" si="6"/>
        <v>4.2020447693369815E-3</v>
      </c>
      <c r="AI54" s="125">
        <f t="shared" si="7"/>
        <v>1.4307480690734467E-2</v>
      </c>
      <c r="AJ54" s="139">
        <v>764912.61473883432</v>
      </c>
      <c r="AK54" s="140">
        <v>318066.14546507358</v>
      </c>
      <c r="AL54" s="140">
        <f t="shared" si="8"/>
        <v>1082978.760203908</v>
      </c>
      <c r="AM54" s="131">
        <f t="shared" si="53"/>
        <v>0.29369564496831563</v>
      </c>
      <c r="AN54" s="129">
        <f t="shared" si="9"/>
        <v>0.70630435503168432</v>
      </c>
      <c r="AO54" s="130">
        <f t="shared" si="10"/>
        <v>0.29369564496831563</v>
      </c>
      <c r="AP54" s="26" t="s">
        <v>57</v>
      </c>
      <c r="AQ54" s="20" t="s">
        <v>58</v>
      </c>
      <c r="AR54" s="20">
        <v>30.503799999999998</v>
      </c>
      <c r="AS54" s="20">
        <v>50.453600000000002</v>
      </c>
      <c r="AT54" s="27" t="s">
        <v>59</v>
      </c>
      <c r="AU54" s="22" t="s">
        <v>60</v>
      </c>
      <c r="AV54" s="15"/>
      <c r="AW54" s="15"/>
      <c r="AX54" s="15"/>
      <c r="AY54" s="136">
        <v>22502.842993809401</v>
      </c>
      <c r="AZ54" s="125">
        <v>2.9167674730612103E-2</v>
      </c>
      <c r="BB54" s="136">
        <v>22502.842993809401</v>
      </c>
      <c r="BC54" s="131">
        <v>0.29896340271578009</v>
      </c>
      <c r="BE54" s="136">
        <v>22502.842993809401</v>
      </c>
      <c r="BF54" s="18">
        <v>27.63750775347302</v>
      </c>
    </row>
    <row r="55" spans="1:71" ht="14.5" x14ac:dyDescent="0.35">
      <c r="A55" s="7">
        <v>54</v>
      </c>
      <c r="B55" s="23" t="s">
        <v>310</v>
      </c>
      <c r="C55" s="132">
        <v>11.1</v>
      </c>
      <c r="D55" s="132">
        <v>11.5391923292306</v>
      </c>
      <c r="E55" s="132">
        <v>10.567377217753601</v>
      </c>
      <c r="F55" s="133">
        <v>12.5110074407075</v>
      </c>
      <c r="G55" s="23">
        <v>7.5020755317618999</v>
      </c>
      <c r="H55" s="132">
        <v>4.0738184629117304</v>
      </c>
      <c r="I55" s="134">
        <v>11.1</v>
      </c>
      <c r="J55" s="135">
        <v>68350000</v>
      </c>
      <c r="K55" s="134">
        <v>2023</v>
      </c>
      <c r="L55" s="136">
        <v>3380854520809.54</v>
      </c>
      <c r="M55" s="132">
        <v>2023</v>
      </c>
      <c r="N55" s="136">
        <v>49463.855461734303</v>
      </c>
      <c r="O55" s="133">
        <v>2023</v>
      </c>
      <c r="P55" s="136">
        <v>3260416251484.25</v>
      </c>
      <c r="Q55" s="132">
        <v>2023</v>
      </c>
      <c r="R55" s="132">
        <v>47700</v>
      </c>
      <c r="S55" s="134">
        <v>2023</v>
      </c>
      <c r="T55" s="17">
        <v>32.4</v>
      </c>
      <c r="U55" s="133">
        <v>2021</v>
      </c>
      <c r="V55" s="23">
        <v>6.7939670679396302</v>
      </c>
      <c r="W55" s="134">
        <v>2023</v>
      </c>
      <c r="X55" s="137">
        <v>21.288</v>
      </c>
      <c r="Y55" s="133">
        <v>2023</v>
      </c>
      <c r="Z55" s="135">
        <f t="shared" ref="Z55:AB55" si="68">(AJ55*40)* 48</f>
        <v>9845123761.8417778</v>
      </c>
      <c r="AA55" s="135">
        <f t="shared" si="68"/>
        <v>5346153445.2483234</v>
      </c>
      <c r="AB55" s="138">
        <f t="shared" si="68"/>
        <v>15191277207.090099</v>
      </c>
      <c r="AC55" s="18">
        <f t="shared" si="1"/>
        <v>78.217314487905242</v>
      </c>
      <c r="AD55" s="120">
        <f t="shared" si="2"/>
        <v>209582994642.08777</v>
      </c>
      <c r="AE55" s="121">
        <f t="shared" si="3"/>
        <v>113808914542.4463</v>
      </c>
      <c r="AF55" s="122">
        <f t="shared" si="4"/>
        <v>323391909184.53406</v>
      </c>
      <c r="AG55" s="123">
        <f t="shared" si="5"/>
        <v>6.1991130748773972E-2</v>
      </c>
      <c r="AH55" s="124">
        <f t="shared" si="6"/>
        <v>3.3662765978819745E-2</v>
      </c>
      <c r="AI55" s="125">
        <f t="shared" si="7"/>
        <v>9.5653896727593724E-2</v>
      </c>
      <c r="AJ55" s="139">
        <v>5127668.6259592595</v>
      </c>
      <c r="AK55" s="140">
        <v>2784454.9194001681</v>
      </c>
      <c r="AL55" s="140">
        <f t="shared" si="8"/>
        <v>7912123.5453594271</v>
      </c>
      <c r="AM55" s="131">
        <f t="shared" si="53"/>
        <v>0.35192257848821012</v>
      </c>
      <c r="AN55" s="129">
        <f t="shared" si="9"/>
        <v>0.64807742151178993</v>
      </c>
      <c r="AO55" s="130">
        <f t="shared" si="10"/>
        <v>0.35192257848821007</v>
      </c>
      <c r="AP55" s="19" t="s">
        <v>57</v>
      </c>
      <c r="AQ55" s="20" t="s">
        <v>311</v>
      </c>
      <c r="AR55" s="20">
        <v>-0.12623599999999999</v>
      </c>
      <c r="AS55" s="20">
        <v>51.5002</v>
      </c>
      <c r="AT55" s="21" t="s">
        <v>247</v>
      </c>
      <c r="AU55" s="22" t="s">
        <v>248</v>
      </c>
      <c r="AV55" s="15"/>
      <c r="AW55" s="15"/>
      <c r="AX55" s="15"/>
      <c r="AY55" s="136">
        <v>44690.934539511698</v>
      </c>
      <c r="AZ55" s="125">
        <v>7.7836738022083046E-2</v>
      </c>
      <c r="BA55" s="15"/>
      <c r="BB55" s="136">
        <v>44690.934539511698</v>
      </c>
      <c r="BC55" s="131">
        <v>0.33333476067003515</v>
      </c>
      <c r="BD55" s="15"/>
      <c r="BE55" s="136">
        <v>44690.934539511698</v>
      </c>
      <c r="BF55" s="18">
        <v>68.256248706924055</v>
      </c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</row>
    <row r="56" spans="1:71" ht="14.5" x14ac:dyDescent="0.35">
      <c r="A56" s="7">
        <v>55</v>
      </c>
      <c r="B56" s="23" t="s">
        <v>72</v>
      </c>
      <c r="C56" s="132"/>
      <c r="D56" s="132">
        <v>4.6083031530924501</v>
      </c>
      <c r="E56" s="132">
        <v>3.3326833704810599</v>
      </c>
      <c r="F56" s="133">
        <v>5.8839229357038301</v>
      </c>
      <c r="G56" s="23">
        <v>2.9421730677889899</v>
      </c>
      <c r="H56" s="132">
        <v>1.3800489941467999</v>
      </c>
      <c r="I56" s="134">
        <v>4.6083031530924501</v>
      </c>
      <c r="J56" s="135">
        <v>35652307</v>
      </c>
      <c r="K56" s="134">
        <v>2023</v>
      </c>
      <c r="L56" s="136">
        <v>101591769702.343</v>
      </c>
      <c r="M56" s="132">
        <v>2023</v>
      </c>
      <c r="N56" s="136">
        <v>2849.5146107191099</v>
      </c>
      <c r="O56" s="133">
        <v>2023</v>
      </c>
      <c r="P56" s="136">
        <v>96089212409.053406</v>
      </c>
      <c r="Q56" s="132">
        <v>2023</v>
      </c>
      <c r="R56" s="132">
        <v>2700</v>
      </c>
      <c r="S56" s="134">
        <v>2023</v>
      </c>
      <c r="T56" s="17">
        <v>31.2</v>
      </c>
      <c r="U56" s="133">
        <v>2022</v>
      </c>
      <c r="V56" s="23">
        <v>11.446643699883399</v>
      </c>
      <c r="W56" s="134">
        <v>2022</v>
      </c>
      <c r="X56" s="143">
        <v>2.6</v>
      </c>
      <c r="Y56" s="144">
        <v>2022</v>
      </c>
      <c r="Z56" s="135">
        <f t="shared" ref="Z56:AB56" si="69">(AJ56*40)* 48</f>
        <v>2013988943.230942</v>
      </c>
      <c r="AA56" s="135">
        <f t="shared" si="69"/>
        <v>944677063.95576811</v>
      </c>
      <c r="AB56" s="138">
        <f t="shared" si="69"/>
        <v>2958666007.1867104</v>
      </c>
      <c r="AC56" s="18">
        <f t="shared" si="1"/>
        <v>26.496940687618562</v>
      </c>
      <c r="AD56" s="120">
        <f t="shared" si="2"/>
        <v>5236371252.4004498</v>
      </c>
      <c r="AE56" s="121">
        <f t="shared" si="3"/>
        <v>2456160366.284997</v>
      </c>
      <c r="AF56" s="122">
        <f t="shared" si="4"/>
        <v>7692531618.6854467</v>
      </c>
      <c r="AG56" s="123">
        <f t="shared" si="5"/>
        <v>5.1543262488119489E-2</v>
      </c>
      <c r="AH56" s="124">
        <f t="shared" si="6"/>
        <v>2.4176765238772591E-2</v>
      </c>
      <c r="AI56" s="125">
        <f t="shared" si="7"/>
        <v>7.5720027726892083E-2</v>
      </c>
      <c r="AJ56" s="139">
        <v>1048952.5745994491</v>
      </c>
      <c r="AK56" s="140">
        <v>492019.30414362921</v>
      </c>
      <c r="AL56" s="140">
        <f t="shared" si="8"/>
        <v>1540971.8787430783</v>
      </c>
      <c r="AM56" s="131">
        <f t="shared" si="53"/>
        <v>0.31929155290293404</v>
      </c>
      <c r="AN56" s="129">
        <f t="shared" si="9"/>
        <v>0.68070844709706591</v>
      </c>
      <c r="AO56" s="130">
        <f t="shared" si="10"/>
        <v>0.31929155290293404</v>
      </c>
      <c r="AP56" s="19" t="s">
        <v>57</v>
      </c>
      <c r="AQ56" s="20" t="s">
        <v>73</v>
      </c>
      <c r="AR56" s="20">
        <v>69.269000000000005</v>
      </c>
      <c r="AS56" s="20">
        <v>41.305199999999999</v>
      </c>
      <c r="AT56" s="21" t="s">
        <v>59</v>
      </c>
      <c r="AU56" s="22" t="s">
        <v>66</v>
      </c>
      <c r="AV56" s="15"/>
      <c r="AW56" s="15"/>
      <c r="AX56" s="15"/>
      <c r="AY56" s="136">
        <v>18404.273087170401</v>
      </c>
      <c r="AZ56" s="125">
        <v>1.4504458911401737E-2</v>
      </c>
      <c r="BA56" s="15"/>
      <c r="BB56" s="136">
        <v>18404.273087170401</v>
      </c>
      <c r="BC56" s="131">
        <v>0.35233817117611316</v>
      </c>
      <c r="BD56" s="15"/>
      <c r="BE56" s="136">
        <v>18404.273087170401</v>
      </c>
      <c r="BF56" s="18">
        <v>11.905641619644847</v>
      </c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</row>
    <row r="57" spans="1:71" ht="14.5" x14ac:dyDescent="0.35">
      <c r="A57" s="7">
        <v>56</v>
      </c>
      <c r="B57" s="23" t="s">
        <v>203</v>
      </c>
      <c r="C57" s="132">
        <v>6.4577665196860297</v>
      </c>
      <c r="D57" s="132">
        <v>6.9977030245706704</v>
      </c>
      <c r="E57" s="132">
        <v>6.0908381822082598</v>
      </c>
      <c r="F57" s="133">
        <v>7.9045678669330899</v>
      </c>
      <c r="G57" s="23">
        <v>4.4515753823564603</v>
      </c>
      <c r="H57" s="132">
        <v>2.63269706147508</v>
      </c>
      <c r="I57" s="134">
        <v>6.4577665196860297</v>
      </c>
      <c r="J57" s="135">
        <v>45538401</v>
      </c>
      <c r="K57" s="134">
        <v>2023</v>
      </c>
      <c r="L57" s="136">
        <v>646075277525.125</v>
      </c>
      <c r="M57" s="132">
        <v>2023</v>
      </c>
      <c r="N57" s="136">
        <v>14187.482725296501</v>
      </c>
      <c r="O57" s="133">
        <v>2023</v>
      </c>
      <c r="P57" s="136">
        <v>586900838956.78003</v>
      </c>
      <c r="Q57" s="132">
        <v>2023</v>
      </c>
      <c r="R57" s="132">
        <v>12890</v>
      </c>
      <c r="S57" s="134">
        <v>2023</v>
      </c>
      <c r="T57" s="17">
        <v>40.700000000000003</v>
      </c>
      <c r="U57" s="133">
        <v>2022</v>
      </c>
      <c r="V57" s="23"/>
      <c r="W57" s="134"/>
      <c r="X57" s="137">
        <v>4.2729999999999997</v>
      </c>
      <c r="Y57" s="133">
        <v>2023</v>
      </c>
      <c r="Z57" s="135">
        <f t="shared" ref="Z57:AB57" si="70">(AJ57*40)* 48</f>
        <v>3892178396.9947543</v>
      </c>
      <c r="AA57" s="135">
        <f t="shared" si="70"/>
        <v>2301865238.3418989</v>
      </c>
      <c r="AB57" s="138">
        <f t="shared" si="70"/>
        <v>6194043635.3366528</v>
      </c>
      <c r="AC57" s="18">
        <f t="shared" si="1"/>
        <v>50.547783580321557</v>
      </c>
      <c r="AD57" s="120">
        <f t="shared" si="2"/>
        <v>16631278290.358583</v>
      </c>
      <c r="AE57" s="121">
        <f t="shared" si="3"/>
        <v>9835870163.4349327</v>
      </c>
      <c r="AF57" s="122">
        <f t="shared" si="4"/>
        <v>26467148453.793518</v>
      </c>
      <c r="AG57" s="123">
        <f t="shared" si="5"/>
        <v>2.5742013150645306E-2</v>
      </c>
      <c r="AH57" s="124">
        <f t="shared" si="6"/>
        <v>1.522403117034985E-2</v>
      </c>
      <c r="AI57" s="125">
        <f t="shared" si="7"/>
        <v>4.0966044320995154E-2</v>
      </c>
      <c r="AJ57" s="139">
        <v>2027176.2484347681</v>
      </c>
      <c r="AK57" s="140">
        <v>1198888.144969739</v>
      </c>
      <c r="AL57" s="140">
        <f t="shared" si="8"/>
        <v>3226064.3934045071</v>
      </c>
      <c r="AM57" s="131">
        <f t="shared" si="53"/>
        <v>0.37162560903024533</v>
      </c>
      <c r="AN57" s="129">
        <f t="shared" si="9"/>
        <v>0.62837439096975467</v>
      </c>
      <c r="AO57" s="130">
        <f t="shared" si="10"/>
        <v>0.37162560903024539</v>
      </c>
      <c r="AP57" s="19" t="s">
        <v>121</v>
      </c>
      <c r="AQ57" s="20" t="s">
        <v>204</v>
      </c>
      <c r="AR57" s="20" t="s">
        <v>205</v>
      </c>
      <c r="AS57" s="20" t="s">
        <v>206</v>
      </c>
      <c r="AT57" s="21" t="s">
        <v>152</v>
      </c>
      <c r="AU57" s="22" t="s">
        <v>60</v>
      </c>
      <c r="AV57" s="15"/>
      <c r="AW57" s="15"/>
      <c r="AX57" s="15"/>
      <c r="AY57" s="136">
        <v>13790.0243428344</v>
      </c>
      <c r="AZ57" s="125">
        <v>9.5933765373390177E-3</v>
      </c>
      <c r="BB57" s="136">
        <v>13790.0243428344</v>
      </c>
      <c r="BC57" s="131">
        <v>0.50639741437440222</v>
      </c>
      <c r="BE57" s="136">
        <v>13790.0243428344</v>
      </c>
      <c r="BF57" s="18">
        <v>23.42404911339629</v>
      </c>
    </row>
    <row r="58" spans="1:71" ht="14.5" x14ac:dyDescent="0.35">
      <c r="A58" s="7">
        <v>57</v>
      </c>
      <c r="B58" s="23" t="s">
        <v>127</v>
      </c>
      <c r="C58" s="132"/>
      <c r="D58" s="132">
        <v>2.5594576667517002</v>
      </c>
      <c r="E58" s="132">
        <v>1.7156866958129799</v>
      </c>
      <c r="F58" s="133">
        <v>3.4032286376904199</v>
      </c>
      <c r="G58" s="23">
        <v>1.4271381873486599</v>
      </c>
      <c r="H58" s="132">
        <v>1.1333986622029799</v>
      </c>
      <c r="I58" s="134">
        <v>2.5594576667517002</v>
      </c>
      <c r="J58" s="135">
        <v>12244159</v>
      </c>
      <c r="K58" s="134">
        <v>2023</v>
      </c>
      <c r="L58" s="136">
        <v>45135398008.816597</v>
      </c>
      <c r="M58" s="132">
        <v>2023</v>
      </c>
      <c r="N58" s="136">
        <v>3686.27996490544</v>
      </c>
      <c r="O58" s="133">
        <v>2023</v>
      </c>
      <c r="P58" s="136">
        <v>44317641753.245697</v>
      </c>
      <c r="Q58" s="132">
        <v>2023</v>
      </c>
      <c r="R58" s="132">
        <v>3620</v>
      </c>
      <c r="S58" s="134">
        <v>2023</v>
      </c>
      <c r="T58" s="17">
        <v>40.9</v>
      </c>
      <c r="U58" s="133">
        <v>2021</v>
      </c>
      <c r="V58" s="23">
        <v>2.57688800489192</v>
      </c>
      <c r="W58" s="134">
        <v>2023</v>
      </c>
      <c r="X58" s="137">
        <v>3.3889999999999998</v>
      </c>
      <c r="Y58" s="133">
        <v>2023</v>
      </c>
      <c r="Z58" s="135">
        <f t="shared" ref="Z58:AB58" si="71">(AJ58*40)* 48</f>
        <v>335502852.11268055</v>
      </c>
      <c r="AA58" s="135">
        <f t="shared" si="71"/>
        <v>266448257.86369112</v>
      </c>
      <c r="AB58" s="138">
        <f t="shared" si="71"/>
        <v>601951109.97637177</v>
      </c>
      <c r="AC58" s="18">
        <f t="shared" si="1"/>
        <v>21.761254314297219</v>
      </c>
      <c r="AD58" s="120">
        <f t="shared" si="2"/>
        <v>1137019165.8098743</v>
      </c>
      <c r="AE58" s="121">
        <f t="shared" si="3"/>
        <v>902993145.90004921</v>
      </c>
      <c r="AF58" s="122">
        <f t="shared" si="4"/>
        <v>2040012311.7099235</v>
      </c>
      <c r="AG58" s="123">
        <f t="shared" si="5"/>
        <v>2.5191295877966396E-2</v>
      </c>
      <c r="AH58" s="124">
        <f t="shared" si="6"/>
        <v>2.0006318449294753E-2</v>
      </c>
      <c r="AI58" s="125">
        <f t="shared" si="7"/>
        <v>4.5197614327261146E-2</v>
      </c>
      <c r="AJ58" s="139">
        <v>174741.06880868779</v>
      </c>
      <c r="AK58" s="140">
        <v>138775.1343040058</v>
      </c>
      <c r="AL58" s="140">
        <f t="shared" si="8"/>
        <v>313516.20311269362</v>
      </c>
      <c r="AM58" s="131">
        <f t="shared" si="53"/>
        <v>0.44264102756476353</v>
      </c>
      <c r="AN58" s="129">
        <f t="shared" si="9"/>
        <v>0.55735897243523647</v>
      </c>
      <c r="AO58" s="130">
        <f t="shared" si="10"/>
        <v>0.44264102756476348</v>
      </c>
      <c r="AP58" s="19" t="s">
        <v>121</v>
      </c>
      <c r="AQ58" s="20" t="s">
        <v>128</v>
      </c>
      <c r="AR58" s="20" t="s">
        <v>129</v>
      </c>
      <c r="AS58" s="20" t="s">
        <v>130</v>
      </c>
      <c r="AT58" s="21" t="s">
        <v>59</v>
      </c>
      <c r="AU58" s="22" t="s">
        <v>60</v>
      </c>
      <c r="AV58" s="15"/>
      <c r="AW58" s="15"/>
      <c r="AX58" s="15"/>
      <c r="AY58" s="136">
        <v>12281.5058488303</v>
      </c>
      <c r="AZ58" s="125">
        <v>2.168749553340896E-2</v>
      </c>
      <c r="BA58" s="15"/>
      <c r="BB58" s="136">
        <v>12281.5058488303</v>
      </c>
      <c r="BC58" s="131">
        <v>0.32250163552302058</v>
      </c>
      <c r="BD58" s="15"/>
      <c r="BE58" s="136">
        <v>12281.5058488303</v>
      </c>
      <c r="BF58" s="18">
        <v>20.951208884101632</v>
      </c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</row>
    <row r="59" spans="1:71" ht="14.5" x14ac:dyDescent="0.35">
      <c r="A59" s="7">
        <v>58</v>
      </c>
      <c r="B59" s="23" t="s">
        <v>229</v>
      </c>
      <c r="C59" s="132">
        <v>3.6916468100815498</v>
      </c>
      <c r="D59" s="132">
        <v>4.2419129208822</v>
      </c>
      <c r="E59" s="132">
        <v>3.2223574052805501</v>
      </c>
      <c r="F59" s="133">
        <v>5.2614684364838498</v>
      </c>
      <c r="G59" s="23">
        <v>2.87961423413797</v>
      </c>
      <c r="H59" s="132">
        <v>1.13581427968324</v>
      </c>
      <c r="I59" s="134">
        <v>3.6916468100815498</v>
      </c>
      <c r="J59" s="135">
        <v>211140729</v>
      </c>
      <c r="K59" s="134">
        <v>2023</v>
      </c>
      <c r="L59" s="136">
        <v>2173665655937.27</v>
      </c>
      <c r="M59" s="132">
        <v>2023</v>
      </c>
      <c r="N59" s="136">
        <v>10294.866680777999</v>
      </c>
      <c r="O59" s="133">
        <v>2023</v>
      </c>
      <c r="P59" s="136">
        <v>1959785256812.05</v>
      </c>
      <c r="Q59" s="132">
        <v>2023</v>
      </c>
      <c r="R59" s="132">
        <v>9280</v>
      </c>
      <c r="S59" s="134">
        <v>2023</v>
      </c>
      <c r="T59" s="17">
        <v>52</v>
      </c>
      <c r="U59" s="133">
        <v>2022</v>
      </c>
      <c r="V59" s="23">
        <v>4.5935628228320402</v>
      </c>
      <c r="W59" s="134">
        <v>2023</v>
      </c>
      <c r="X59" s="137">
        <v>3.5609999999999999</v>
      </c>
      <c r="Y59" s="133">
        <v>2023</v>
      </c>
      <c r="Z59" s="135">
        <f t="shared" ref="Z59:AB59" si="72">(AJ59*40)* 48</f>
        <v>11673673893.78562</v>
      </c>
      <c r="AA59" s="135">
        <f t="shared" si="72"/>
        <v>4604479776.4018402</v>
      </c>
      <c r="AB59" s="138">
        <f t="shared" si="72"/>
        <v>16278153670.187458</v>
      </c>
      <c r="AC59" s="18">
        <f t="shared" si="1"/>
        <v>21.807634169918206</v>
      </c>
      <c r="AD59" s="120">
        <f t="shared" si="2"/>
        <v>41569952735.770592</v>
      </c>
      <c r="AE59" s="121">
        <f t="shared" si="3"/>
        <v>16396552483.766953</v>
      </c>
      <c r="AF59" s="122">
        <f t="shared" si="4"/>
        <v>57966505219.537544</v>
      </c>
      <c r="AG59" s="123">
        <f t="shared" si="5"/>
        <v>1.9124354576898307E-2</v>
      </c>
      <c r="AH59" s="124">
        <f t="shared" si="6"/>
        <v>7.5432725538909385E-3</v>
      </c>
      <c r="AI59" s="125">
        <f t="shared" si="7"/>
        <v>2.6667627130789247E-2</v>
      </c>
      <c r="AJ59" s="139">
        <v>6080038.4863466769</v>
      </c>
      <c r="AK59" s="140">
        <v>2398166.5502092922</v>
      </c>
      <c r="AL59" s="140">
        <f t="shared" si="8"/>
        <v>8478205.0365559682</v>
      </c>
      <c r="AM59" s="131">
        <f t="shared" si="53"/>
        <v>0.28286253279662121</v>
      </c>
      <c r="AN59" s="129">
        <f t="shared" si="9"/>
        <v>0.71713746720337879</v>
      </c>
      <c r="AO59" s="130">
        <f t="shared" si="10"/>
        <v>0.28286253279662127</v>
      </c>
      <c r="AP59" s="44" t="s">
        <v>121</v>
      </c>
      <c r="AQ59" s="15" t="s">
        <v>230</v>
      </c>
      <c r="AR59" s="15" t="s">
        <v>231</v>
      </c>
      <c r="AS59" s="15" t="s">
        <v>232</v>
      </c>
      <c r="AT59" s="45" t="s">
        <v>152</v>
      </c>
      <c r="AU59" s="15" t="s">
        <v>60</v>
      </c>
      <c r="AV59" s="15"/>
      <c r="AW59" s="15"/>
      <c r="AX59" s="15"/>
      <c r="AY59" s="136">
        <v>14187.482725296501</v>
      </c>
      <c r="AZ59" s="125">
        <v>4.0966044320995154E-2</v>
      </c>
      <c r="BA59" s="15"/>
      <c r="BB59" s="136">
        <v>14187.482725296501</v>
      </c>
      <c r="BC59" s="131">
        <v>0.37162560903024533</v>
      </c>
      <c r="BD59" s="15"/>
      <c r="BE59" s="136">
        <v>14187.482725296501</v>
      </c>
      <c r="BF59" s="18">
        <v>50.547783580321557</v>
      </c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</row>
    <row r="60" spans="1:71" ht="14.5" x14ac:dyDescent="0.35">
      <c r="A60" s="7">
        <v>59</v>
      </c>
      <c r="B60" s="23" t="s">
        <v>354</v>
      </c>
      <c r="C60" s="132">
        <v>5.4032441077623004</v>
      </c>
      <c r="D60" s="132">
        <v>5.1975069097163198</v>
      </c>
      <c r="E60" s="132">
        <v>4.3512310050227896</v>
      </c>
      <c r="F60" s="133">
        <v>6.0437828144098402</v>
      </c>
      <c r="G60" s="23">
        <v>2.9472281886040301</v>
      </c>
      <c r="H60" s="132">
        <v>2.2407799680060401</v>
      </c>
      <c r="I60" s="134">
        <v>5.4032441077623004</v>
      </c>
      <c r="J60" s="135">
        <v>19658835</v>
      </c>
      <c r="K60" s="134">
        <v>2023</v>
      </c>
      <c r="L60" s="136">
        <v>335533331669.21899</v>
      </c>
      <c r="M60" s="132">
        <v>2023</v>
      </c>
      <c r="N60" s="136">
        <v>17067.813615060099</v>
      </c>
      <c r="O60" s="133">
        <v>2023</v>
      </c>
      <c r="P60" s="136">
        <v>310627607160.06201</v>
      </c>
      <c r="Q60" s="132">
        <v>2023</v>
      </c>
      <c r="R60" s="132">
        <v>15800</v>
      </c>
      <c r="S60" s="134">
        <v>2023</v>
      </c>
      <c r="T60" s="17">
        <v>43</v>
      </c>
      <c r="U60" s="133">
        <v>2022</v>
      </c>
      <c r="V60" s="23">
        <v>7.5816825140796897</v>
      </c>
      <c r="W60" s="134">
        <v>2023</v>
      </c>
      <c r="X60" s="137">
        <v>6.2560000000000002</v>
      </c>
      <c r="Y60" s="133">
        <v>2023</v>
      </c>
      <c r="Z60" s="135">
        <f t="shared" ref="Z60:AB60" si="73">(AJ60*40)* 48</f>
        <v>1112430195.2086177</v>
      </c>
      <c r="AA60" s="135">
        <f t="shared" si="73"/>
        <v>845781574.31685162</v>
      </c>
      <c r="AB60" s="138">
        <f t="shared" si="73"/>
        <v>1958211769.5254693</v>
      </c>
      <c r="AC60" s="18">
        <f t="shared" si="1"/>
        <v>43.022975385715974</v>
      </c>
      <c r="AD60" s="120">
        <f t="shared" si="2"/>
        <v>6959363301.2251129</v>
      </c>
      <c r="AE60" s="121">
        <f t="shared" si="3"/>
        <v>5291209528.9262238</v>
      </c>
      <c r="AF60" s="122">
        <f t="shared" si="4"/>
        <v>12250572830.151337</v>
      </c>
      <c r="AG60" s="123">
        <f t="shared" si="5"/>
        <v>2.0741198099764071E-2</v>
      </c>
      <c r="AH60" s="124">
        <f t="shared" si="6"/>
        <v>1.576954963789556E-2</v>
      </c>
      <c r="AI60" s="125">
        <f t="shared" si="7"/>
        <v>3.6510747737659631E-2</v>
      </c>
      <c r="AJ60" s="139">
        <v>579390.72667115508</v>
      </c>
      <c r="AK60" s="140">
        <v>440511.23662336019</v>
      </c>
      <c r="AL60" s="140">
        <f t="shared" si="8"/>
        <v>1019901.9632945153</v>
      </c>
      <c r="AM60" s="131">
        <f t="shared" si="53"/>
        <v>0.43191527468033175</v>
      </c>
      <c r="AN60" s="129">
        <f t="shared" si="9"/>
        <v>0.56808472531966825</v>
      </c>
      <c r="AO60" s="130">
        <f t="shared" si="10"/>
        <v>0.43191527468033175</v>
      </c>
      <c r="AP60" s="32" t="s">
        <v>121</v>
      </c>
      <c r="AQ60" s="20" t="s">
        <v>355</v>
      </c>
      <c r="AR60" s="20" t="s">
        <v>356</v>
      </c>
      <c r="AS60" s="20" t="s">
        <v>357</v>
      </c>
      <c r="AT60" s="33" t="s">
        <v>247</v>
      </c>
      <c r="AU60" s="15" t="s">
        <v>60</v>
      </c>
      <c r="AV60" s="15"/>
      <c r="AW60" s="15"/>
      <c r="AX60" s="15"/>
      <c r="AY60" s="136">
        <v>13105.658567831901</v>
      </c>
      <c r="AZ60" s="125">
        <v>1.2899879807565046E-2</v>
      </c>
      <c r="BA60" s="15"/>
      <c r="BB60" s="136">
        <v>13105.658567831901</v>
      </c>
      <c r="BC60" s="131">
        <v>0.21986992701219391</v>
      </c>
      <c r="BD60" s="15"/>
      <c r="BE60" s="136">
        <v>13105.658567831901</v>
      </c>
      <c r="BF60" s="18">
        <v>9.9150499192369157</v>
      </c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</row>
    <row r="61" spans="1:71" ht="14.5" x14ac:dyDescent="0.35">
      <c r="A61" s="7">
        <v>60</v>
      </c>
      <c r="B61" s="23" t="s">
        <v>237</v>
      </c>
      <c r="C61" s="132">
        <v>2.55905292789034</v>
      </c>
      <c r="D61" s="132">
        <v>3.7546893636532901</v>
      </c>
      <c r="E61" s="132">
        <v>1.34961836018753</v>
      </c>
      <c r="F61" s="133">
        <v>6.1597603671190404</v>
      </c>
      <c r="G61" s="23">
        <v>2.60371256672259</v>
      </c>
      <c r="H61" s="132">
        <v>1.23968944529192</v>
      </c>
      <c r="I61" s="134">
        <v>2.55905292789034</v>
      </c>
      <c r="J61" s="135">
        <v>52321152</v>
      </c>
      <c r="K61" s="134">
        <v>2023</v>
      </c>
      <c r="L61" s="136">
        <v>363493841244.30298</v>
      </c>
      <c r="M61" s="132">
        <v>2023</v>
      </c>
      <c r="N61" s="136">
        <v>6947.3592868196602</v>
      </c>
      <c r="O61" s="133">
        <v>2023</v>
      </c>
      <c r="P61" s="136">
        <v>356116258547.66998</v>
      </c>
      <c r="Q61" s="132">
        <v>2023</v>
      </c>
      <c r="R61" s="132">
        <v>6810</v>
      </c>
      <c r="S61" s="134">
        <v>2023</v>
      </c>
      <c r="T61" s="17">
        <v>54.8</v>
      </c>
      <c r="U61" s="133">
        <v>2022</v>
      </c>
      <c r="V61" s="23">
        <v>11.735904494868899</v>
      </c>
      <c r="W61" s="134">
        <v>2023</v>
      </c>
      <c r="X61" s="137">
        <v>2.048</v>
      </c>
      <c r="Y61" s="133">
        <v>2023</v>
      </c>
      <c r="Z61" s="135">
        <f t="shared" ref="Z61:AB61" si="74">(AJ61*40)* 48</f>
        <v>2615601426.5818138</v>
      </c>
      <c r="AA61" s="135">
        <f t="shared" si="74"/>
        <v>1245350014.0783534</v>
      </c>
      <c r="AB61" s="138">
        <f t="shared" si="74"/>
        <v>3860951440.6601672</v>
      </c>
      <c r="AC61" s="18">
        <f t="shared" si="1"/>
        <v>23.802037349604866</v>
      </c>
      <c r="AD61" s="120">
        <f t="shared" si="2"/>
        <v>5356751721.639555</v>
      </c>
      <c r="AE61" s="121">
        <f t="shared" si="3"/>
        <v>2550476828.832468</v>
      </c>
      <c r="AF61" s="122">
        <f t="shared" si="4"/>
        <v>7907228550.472023</v>
      </c>
      <c r="AG61" s="123">
        <f t="shared" si="5"/>
        <v>1.4736843142382983E-2</v>
      </c>
      <c r="AH61" s="124">
        <f t="shared" si="6"/>
        <v>7.0165613263260245E-3</v>
      </c>
      <c r="AI61" s="125">
        <f t="shared" si="7"/>
        <v>2.1753404468709006E-2</v>
      </c>
      <c r="AJ61" s="139">
        <v>1362292.409678028</v>
      </c>
      <c r="AK61" s="140">
        <v>648619.79899914237</v>
      </c>
      <c r="AL61" s="140">
        <f t="shared" si="8"/>
        <v>2010912.2086771703</v>
      </c>
      <c r="AM61" s="131">
        <f t="shared" si="53"/>
        <v>0.32255003286584111</v>
      </c>
      <c r="AN61" s="129">
        <f t="shared" si="9"/>
        <v>0.67744996713415895</v>
      </c>
      <c r="AO61" s="130">
        <f t="shared" si="10"/>
        <v>0.32255003286584111</v>
      </c>
      <c r="AP61" s="32" t="s">
        <v>121</v>
      </c>
      <c r="AQ61" s="20" t="s">
        <v>238</v>
      </c>
      <c r="AR61" s="20" t="s">
        <v>239</v>
      </c>
      <c r="AS61" s="20" t="s">
        <v>240</v>
      </c>
      <c r="AT61" s="33" t="s">
        <v>152</v>
      </c>
      <c r="AU61" s="15" t="s">
        <v>60</v>
      </c>
      <c r="AV61" s="15"/>
      <c r="AW61" s="15"/>
      <c r="AX61" s="15"/>
      <c r="AY61" s="136">
        <v>7906.5850285799997</v>
      </c>
      <c r="AZ61" s="125">
        <v>1.6959491818961323E-2</v>
      </c>
      <c r="BA61" s="15"/>
      <c r="BB61" s="136">
        <v>7906.5850285799997</v>
      </c>
      <c r="BC61" s="131">
        <v>0.41026820785693141</v>
      </c>
      <c r="BD61" s="15"/>
      <c r="BE61" s="136">
        <v>7906.5850285799997</v>
      </c>
      <c r="BF61" s="18">
        <v>21.281836256167871</v>
      </c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</row>
    <row r="62" spans="1:71" ht="14.5" x14ac:dyDescent="0.35">
      <c r="A62" s="7">
        <v>61</v>
      </c>
      <c r="B62" s="23" t="s">
        <v>221</v>
      </c>
      <c r="C62" s="132"/>
      <c r="D62" s="132">
        <v>5.52786797089591</v>
      </c>
      <c r="E62" s="132">
        <v>4.2468366905181902</v>
      </c>
      <c r="F62" s="133">
        <v>6.8088992512736199</v>
      </c>
      <c r="G62" s="23">
        <v>3.4415174431587801</v>
      </c>
      <c r="H62" s="132">
        <v>2.3195763398753901</v>
      </c>
      <c r="I62" s="134">
        <v>5.52786797089591</v>
      </c>
      <c r="J62" s="135">
        <v>5105525</v>
      </c>
      <c r="K62" s="134">
        <v>2023</v>
      </c>
      <c r="L62" s="136">
        <v>86497941439.017395</v>
      </c>
      <c r="M62" s="132">
        <v>2023</v>
      </c>
      <c r="N62" s="136">
        <v>16942.0268119375</v>
      </c>
      <c r="O62" s="133">
        <v>2023</v>
      </c>
      <c r="P62" s="136">
        <v>72788330406.782898</v>
      </c>
      <c r="Q62" s="132">
        <v>2023</v>
      </c>
      <c r="R62" s="132">
        <v>14260</v>
      </c>
      <c r="S62" s="134">
        <v>2023</v>
      </c>
      <c r="T62" s="17">
        <v>46.7</v>
      </c>
      <c r="U62" s="133">
        <v>2023</v>
      </c>
      <c r="V62" s="23">
        <v>0.52519350869345505</v>
      </c>
      <c r="W62" s="134">
        <v>2023</v>
      </c>
      <c r="X62" s="137">
        <v>4.87</v>
      </c>
      <c r="Y62" s="133">
        <v>2022</v>
      </c>
      <c r="Z62" s="135">
        <f t="shared" ref="Z62:AB62" si="75">(AJ62*40)* 48</f>
        <v>337358464.20447803</v>
      </c>
      <c r="AA62" s="135">
        <f t="shared" si="75"/>
        <v>227378975.85873216</v>
      </c>
      <c r="AB62" s="138">
        <f t="shared" si="75"/>
        <v>564737440.06321013</v>
      </c>
      <c r="AC62" s="18">
        <f t="shared" si="1"/>
        <v>44.535865725607486</v>
      </c>
      <c r="AD62" s="120">
        <f t="shared" si="2"/>
        <v>1642935720.675808</v>
      </c>
      <c r="AE62" s="121">
        <f t="shared" si="3"/>
        <v>1107335612.4320257</v>
      </c>
      <c r="AF62" s="122">
        <f t="shared" si="4"/>
        <v>2750271333.1078339</v>
      </c>
      <c r="AG62" s="123">
        <f t="shared" si="5"/>
        <v>1.8993928564578696E-2</v>
      </c>
      <c r="AH62" s="124">
        <f t="shared" si="6"/>
        <v>1.2801872437770293E-2</v>
      </c>
      <c r="AI62" s="125">
        <f t="shared" si="7"/>
        <v>3.1795801002348988E-2</v>
      </c>
      <c r="AJ62" s="139">
        <v>175707.5334398323</v>
      </c>
      <c r="AK62" s="140">
        <v>118426.549926423</v>
      </c>
      <c r="AL62" s="140">
        <f t="shared" si="8"/>
        <v>294134.08336625528</v>
      </c>
      <c r="AM62" s="131">
        <f t="shared" si="53"/>
        <v>0.40262776952291668</v>
      </c>
      <c r="AN62" s="129">
        <f t="shared" si="9"/>
        <v>0.59737223047708343</v>
      </c>
      <c r="AO62" s="130">
        <f t="shared" si="10"/>
        <v>0.40262776952291673</v>
      </c>
      <c r="AP62" s="32" t="s">
        <v>121</v>
      </c>
      <c r="AQ62" s="20" t="s">
        <v>222</v>
      </c>
      <c r="AR62" s="20" t="s">
        <v>223</v>
      </c>
      <c r="AS62" s="20" t="s">
        <v>224</v>
      </c>
      <c r="AT62" s="33" t="s">
        <v>152</v>
      </c>
      <c r="AU62" s="15" t="s">
        <v>60</v>
      </c>
      <c r="AV62" s="15"/>
      <c r="AW62" s="15"/>
      <c r="AX62" s="15"/>
      <c r="AY62" s="136">
        <v>6609.8040815495697</v>
      </c>
      <c r="AZ62" s="125">
        <v>1.7076946270334892E-2</v>
      </c>
      <c r="BA62" s="15"/>
      <c r="BB62" s="136">
        <v>6609.8040815495697</v>
      </c>
      <c r="BC62" s="131">
        <v>0.41772189129272852</v>
      </c>
      <c r="BD62" s="15"/>
      <c r="BE62" s="136">
        <v>6609.8040815495697</v>
      </c>
      <c r="BF62" s="18">
        <v>21.021164027142913</v>
      </c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</row>
    <row r="63" spans="1:71" ht="14.5" x14ac:dyDescent="0.35">
      <c r="A63" s="7">
        <v>62</v>
      </c>
      <c r="B63" s="23" t="s">
        <v>187</v>
      </c>
      <c r="C63" s="132"/>
      <c r="D63" s="132">
        <v>5.7268080117779103</v>
      </c>
      <c r="E63" s="132">
        <v>4.97579177698886</v>
      </c>
      <c r="F63" s="133">
        <v>6.4778242465669704</v>
      </c>
      <c r="G63" s="23">
        <v>3.6947224984873199</v>
      </c>
      <c r="H63" s="132">
        <v>1.8252334216356201</v>
      </c>
      <c r="I63" s="134">
        <v>5.7268080117779103</v>
      </c>
      <c r="J63" s="135">
        <v>11331265</v>
      </c>
      <c r="K63" s="134">
        <v>2023</v>
      </c>
      <c r="L63" s="136">
        <v>121444279313.931</v>
      </c>
      <c r="M63" s="132">
        <v>2023</v>
      </c>
      <c r="N63" s="136">
        <v>10717.6276712204</v>
      </c>
      <c r="O63" s="133">
        <v>2023</v>
      </c>
      <c r="P63" s="136">
        <v>109970079310.192</v>
      </c>
      <c r="Q63" s="132">
        <v>2023</v>
      </c>
      <c r="R63" s="132">
        <v>9710</v>
      </c>
      <c r="S63" s="134">
        <v>2023</v>
      </c>
      <c r="T63" s="17">
        <v>37</v>
      </c>
      <c r="U63" s="133">
        <v>2022</v>
      </c>
      <c r="V63" s="23">
        <v>4.78561281021135</v>
      </c>
      <c r="W63" s="134">
        <v>2023</v>
      </c>
      <c r="X63" s="137">
        <v>2.7309999999999999</v>
      </c>
      <c r="Y63" s="133">
        <v>2023</v>
      </c>
      <c r="Z63" s="135">
        <f t="shared" ref="Z63:AB63" si="76">(AJ63*40)* 48</f>
        <v>803824890.85098088</v>
      </c>
      <c r="AA63" s="135">
        <f t="shared" si="76"/>
        <v>397098308.87827104</v>
      </c>
      <c r="AB63" s="138">
        <f t="shared" si="76"/>
        <v>1200923199.7292519</v>
      </c>
      <c r="AC63" s="18">
        <f t="shared" si="1"/>
        <v>35.044481695403917</v>
      </c>
      <c r="AD63" s="120">
        <f t="shared" si="2"/>
        <v>2195245776.9140286</v>
      </c>
      <c r="AE63" s="121">
        <f t="shared" si="3"/>
        <v>1084475481.5465581</v>
      </c>
      <c r="AF63" s="122">
        <f t="shared" si="4"/>
        <v>3279721258.4605865</v>
      </c>
      <c r="AG63" s="123">
        <f t="shared" si="5"/>
        <v>1.8076156318893893E-2</v>
      </c>
      <c r="AH63" s="124">
        <f t="shared" si="6"/>
        <v>8.9298194009057516E-3</v>
      </c>
      <c r="AI63" s="125">
        <f t="shared" si="7"/>
        <v>2.7005975719799645E-2</v>
      </c>
      <c r="AJ63" s="139">
        <v>418658.79731821921</v>
      </c>
      <c r="AK63" s="140">
        <v>206822.0358740995</v>
      </c>
      <c r="AL63" s="140">
        <f t="shared" si="8"/>
        <v>625480.83319231868</v>
      </c>
      <c r="AM63" s="131">
        <f t="shared" si="53"/>
        <v>0.33066086904457909</v>
      </c>
      <c r="AN63" s="129">
        <f t="shared" si="9"/>
        <v>0.66933913095542097</v>
      </c>
      <c r="AO63" s="130">
        <f t="shared" si="10"/>
        <v>0.33066086904457909</v>
      </c>
      <c r="AP63" s="32" t="s">
        <v>121</v>
      </c>
      <c r="AQ63" s="20" t="s">
        <v>188</v>
      </c>
      <c r="AR63" s="20" t="s">
        <v>189</v>
      </c>
      <c r="AS63" s="20" t="s">
        <v>190</v>
      </c>
      <c r="AT63" s="33" t="s">
        <v>152</v>
      </c>
      <c r="AU63" s="15" t="s">
        <v>60</v>
      </c>
      <c r="AV63" s="15"/>
      <c r="AW63" s="15"/>
      <c r="AX63" s="15"/>
      <c r="AY63" s="136">
        <v>24491.3771867262</v>
      </c>
      <c r="AZ63" s="125">
        <v>2.3940743962821833E-2</v>
      </c>
      <c r="BA63" s="15"/>
      <c r="BB63" s="136">
        <v>24491.3771867262</v>
      </c>
      <c r="BC63" s="131">
        <v>0.24286905304076983</v>
      </c>
      <c r="BD63" s="15"/>
      <c r="BE63" s="136">
        <v>24491.3771867262</v>
      </c>
      <c r="BF63" s="18">
        <v>14.833778689882136</v>
      </c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</row>
    <row r="64" spans="1:71" ht="14.5" x14ac:dyDescent="0.35">
      <c r="A64" s="7">
        <v>63</v>
      </c>
      <c r="B64" s="23" t="s">
        <v>211</v>
      </c>
      <c r="C64" s="132"/>
      <c r="D64" s="132">
        <v>2.5364925123840298</v>
      </c>
      <c r="E64" s="132">
        <v>1.66838081024406</v>
      </c>
      <c r="F64" s="133">
        <v>3.4046042145240101</v>
      </c>
      <c r="G64" s="23">
        <v>1.52615540582694</v>
      </c>
      <c r="H64" s="132">
        <v>1.0948522930803599</v>
      </c>
      <c r="I64" s="134">
        <v>2.5364925123840298</v>
      </c>
      <c r="J64" s="135">
        <v>17980083</v>
      </c>
      <c r="K64" s="134">
        <v>2023</v>
      </c>
      <c r="L64" s="136">
        <v>118844826000</v>
      </c>
      <c r="M64" s="132">
        <v>2023</v>
      </c>
      <c r="N64" s="136">
        <v>6609.8040815495697</v>
      </c>
      <c r="O64" s="133">
        <v>2023</v>
      </c>
      <c r="P64" s="136">
        <v>118411862812.63</v>
      </c>
      <c r="Q64" s="132">
        <v>2023</v>
      </c>
      <c r="R64" s="132">
        <v>6590</v>
      </c>
      <c r="S64" s="134">
        <v>2023</v>
      </c>
      <c r="T64" s="17">
        <v>44.6</v>
      </c>
      <c r="U64" s="133">
        <v>2023</v>
      </c>
      <c r="V64" s="23">
        <v>2.2156876423705798</v>
      </c>
      <c r="W64" s="134">
        <v>2023</v>
      </c>
      <c r="X64" s="137">
        <v>2.2429999999999999</v>
      </c>
      <c r="Y64" s="133">
        <v>2014</v>
      </c>
      <c r="Z64" s="135">
        <f t="shared" ref="Z64:AB64" si="77">(AJ64*40)* 48</f>
        <v>526855696.65920782</v>
      </c>
      <c r="AA64" s="135">
        <f t="shared" si="77"/>
        <v>377962273.96464384</v>
      </c>
      <c r="AB64" s="138">
        <f t="shared" si="77"/>
        <v>904817970.62385154</v>
      </c>
      <c r="AC64" s="18">
        <f t="shared" si="1"/>
        <v>21.021164027142913</v>
      </c>
      <c r="AD64" s="120">
        <f t="shared" si="2"/>
        <v>1181737327.6066031</v>
      </c>
      <c r="AE64" s="121">
        <f t="shared" si="3"/>
        <v>847769380.50269604</v>
      </c>
      <c r="AF64" s="122">
        <f t="shared" si="4"/>
        <v>2029506708.1092992</v>
      </c>
      <c r="AG64" s="123">
        <f t="shared" si="5"/>
        <v>9.9435319767862945E-3</v>
      </c>
      <c r="AH64" s="124">
        <f t="shared" si="6"/>
        <v>7.133414293548598E-3</v>
      </c>
      <c r="AI64" s="125">
        <f t="shared" si="7"/>
        <v>1.7076946270334892E-2</v>
      </c>
      <c r="AJ64" s="139">
        <v>274404.00867667072</v>
      </c>
      <c r="AK64" s="140">
        <v>196855.35102325201</v>
      </c>
      <c r="AL64" s="140">
        <f t="shared" si="8"/>
        <v>471259.35969992273</v>
      </c>
      <c r="AM64" s="131">
        <f t="shared" si="53"/>
        <v>0.41772189129272852</v>
      </c>
      <c r="AN64" s="129">
        <f t="shared" si="9"/>
        <v>0.58227810870727137</v>
      </c>
      <c r="AO64" s="130">
        <f t="shared" si="10"/>
        <v>0.41772189129272858</v>
      </c>
      <c r="AP64" s="19" t="s">
        <v>121</v>
      </c>
      <c r="AQ64" s="20" t="s">
        <v>212</v>
      </c>
      <c r="AR64" s="20" t="s">
        <v>213</v>
      </c>
      <c r="AS64" s="20" t="s">
        <v>214</v>
      </c>
      <c r="AT64" s="21" t="s">
        <v>152</v>
      </c>
      <c r="AU64" s="22" t="s">
        <v>60</v>
      </c>
      <c r="AV64" s="15"/>
      <c r="AW64" s="15"/>
      <c r="AX64" s="15"/>
      <c r="AY64" s="136">
        <v>3231.65724461936</v>
      </c>
      <c r="AZ64" s="125">
        <v>4.4089678103348448E-2</v>
      </c>
      <c r="BA64" s="15"/>
      <c r="BB64" s="136">
        <v>3231.65724461936</v>
      </c>
      <c r="BC64" s="131">
        <v>0.31928990616902564</v>
      </c>
      <c r="BD64" s="15"/>
      <c r="BE64" s="136">
        <v>3231.65724461936</v>
      </c>
      <c r="BF64" s="18">
        <v>17.317585361199164</v>
      </c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</row>
    <row r="65" spans="1:71" ht="14.5" x14ac:dyDescent="0.35">
      <c r="A65" s="7">
        <v>64</v>
      </c>
      <c r="B65" s="23" t="s">
        <v>120</v>
      </c>
      <c r="C65" s="132"/>
      <c r="D65" s="132">
        <v>3.1474754840801999</v>
      </c>
      <c r="E65" s="132">
        <v>2.33512407544253</v>
      </c>
      <c r="F65" s="133">
        <v>3.9598268927178699</v>
      </c>
      <c r="G65" s="23">
        <v>1.98145425147634</v>
      </c>
      <c r="H65" s="132">
        <v>1.1298433690816201</v>
      </c>
      <c r="I65" s="134">
        <v>3.1474754840801999</v>
      </c>
      <c r="J65" s="135">
        <v>6309624</v>
      </c>
      <c r="K65" s="134">
        <v>2023</v>
      </c>
      <c r="L65" s="136">
        <v>34015620000</v>
      </c>
      <c r="M65" s="132">
        <v>2023</v>
      </c>
      <c r="N65" s="136">
        <v>5391.0692618133799</v>
      </c>
      <c r="O65" s="133">
        <v>2023</v>
      </c>
      <c r="P65" s="136">
        <v>31320391044.675701</v>
      </c>
      <c r="Q65" s="132">
        <v>2023</v>
      </c>
      <c r="R65" s="132">
        <v>4960</v>
      </c>
      <c r="S65" s="134">
        <v>2023</v>
      </c>
      <c r="T65" s="17">
        <v>38.799999999999997</v>
      </c>
      <c r="U65" s="133">
        <v>2022</v>
      </c>
      <c r="V65" s="23">
        <v>4.0455469422247701</v>
      </c>
      <c r="W65" s="134">
        <v>2023</v>
      </c>
      <c r="X65" s="137">
        <v>11.356999999999999</v>
      </c>
      <c r="Y65" s="133">
        <v>2023</v>
      </c>
      <c r="Z65" s="135">
        <f t="shared" ref="Z65:AB65" si="78">(AJ65*40)* 48</f>
        <v>240042840.96032926</v>
      </c>
      <c r="AA65" s="135">
        <f t="shared" si="78"/>
        <v>136874627.28572637</v>
      </c>
      <c r="AB65" s="138">
        <f t="shared" si="78"/>
        <v>376917468.2460556</v>
      </c>
      <c r="AC65" s="18">
        <f t="shared" si="1"/>
        <v>21.692992686367106</v>
      </c>
      <c r="AD65" s="120">
        <f t="shared" si="2"/>
        <v>2726166544.7864594</v>
      </c>
      <c r="AE65" s="121">
        <f t="shared" si="3"/>
        <v>1554485142.0839944</v>
      </c>
      <c r="AF65" s="122">
        <f t="shared" si="4"/>
        <v>4280651686.8704538</v>
      </c>
      <c r="AG65" s="123">
        <f t="shared" si="5"/>
        <v>8.014454961533729E-2</v>
      </c>
      <c r="AH65" s="124">
        <f t="shared" si="6"/>
        <v>4.5699156507627799E-2</v>
      </c>
      <c r="AI65" s="125">
        <f t="shared" si="7"/>
        <v>0.12584370612296508</v>
      </c>
      <c r="AJ65" s="139">
        <v>125022.3130001715</v>
      </c>
      <c r="AK65" s="140">
        <v>71288.868377982479</v>
      </c>
      <c r="AL65" s="140">
        <f t="shared" si="8"/>
        <v>196311.18137815397</v>
      </c>
      <c r="AM65" s="131">
        <f t="shared" si="53"/>
        <v>0.36314216988312464</v>
      </c>
      <c r="AN65" s="129">
        <f t="shared" si="9"/>
        <v>0.63685783011687547</v>
      </c>
      <c r="AO65" s="130">
        <f t="shared" si="10"/>
        <v>0.36314216988312464</v>
      </c>
      <c r="AP65" s="32" t="s">
        <v>121</v>
      </c>
      <c r="AQ65" s="20" t="s">
        <v>122</v>
      </c>
      <c r="AR65" s="20" t="s">
        <v>123</v>
      </c>
      <c r="AS65" s="20" t="s">
        <v>124</v>
      </c>
      <c r="AT65" s="33" t="s">
        <v>59</v>
      </c>
      <c r="AU65" s="15" t="s">
        <v>60</v>
      </c>
      <c r="AV65" s="15"/>
      <c r="AW65" s="15"/>
      <c r="AX65" s="15"/>
      <c r="AY65" s="136">
        <v>1002.30913917142</v>
      </c>
      <c r="AZ65" s="125">
        <v>5.3829774070893885E-2</v>
      </c>
      <c r="BA65" s="15"/>
      <c r="BB65" s="136">
        <v>1002.30913917142</v>
      </c>
      <c r="BC65" s="131">
        <v>0.46763232611231198</v>
      </c>
      <c r="BD65" s="15"/>
      <c r="BE65" s="136">
        <v>1002.30913917142</v>
      </c>
      <c r="BF65" s="18">
        <v>25.771878821979264</v>
      </c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</row>
    <row r="66" spans="1:71" ht="14.5" x14ac:dyDescent="0.35">
      <c r="A66" s="7">
        <v>65</v>
      </c>
      <c r="B66" s="23" t="s">
        <v>225</v>
      </c>
      <c r="C66" s="132"/>
      <c r="D66" s="132">
        <v>2.3149368322009298</v>
      </c>
      <c r="E66" s="132">
        <v>1.50224149950827</v>
      </c>
      <c r="F66" s="133">
        <v>3.1276321648935799</v>
      </c>
      <c r="G66" s="23">
        <v>1.39330683293785</v>
      </c>
      <c r="H66" s="132">
        <v>0.90637714793310498</v>
      </c>
      <c r="I66" s="134">
        <v>2.3149368322009298</v>
      </c>
      <c r="J66" s="135">
        <v>18124838</v>
      </c>
      <c r="K66" s="134">
        <v>2023</v>
      </c>
      <c r="L66" s="136">
        <v>104450210572.01199</v>
      </c>
      <c r="M66" s="132">
        <v>2023</v>
      </c>
      <c r="N66" s="136">
        <v>5762.8217461591803</v>
      </c>
      <c r="O66" s="133">
        <v>2023</v>
      </c>
      <c r="P66" s="136">
        <v>99309065126.095093</v>
      </c>
      <c r="Q66" s="132">
        <v>2023</v>
      </c>
      <c r="R66" s="132">
        <v>5480</v>
      </c>
      <c r="S66" s="134">
        <v>2023</v>
      </c>
      <c r="T66" s="17">
        <v>48.3</v>
      </c>
      <c r="U66" s="133">
        <v>2014</v>
      </c>
      <c r="V66" s="23">
        <v>6.8851282334428703</v>
      </c>
      <c r="W66" s="134">
        <v>2022</v>
      </c>
      <c r="X66" s="137">
        <v>2.0499999999999998</v>
      </c>
      <c r="Y66" s="133">
        <v>2023</v>
      </c>
      <c r="Z66" s="135">
        <f t="shared" ref="Z66:AB66" si="79">(AJ66*40)* 48</f>
        <v>484866444.12079847</v>
      </c>
      <c r="AA66" s="135">
        <f t="shared" si="79"/>
        <v>315416428.28523958</v>
      </c>
      <c r="AB66" s="138">
        <f t="shared" si="79"/>
        <v>800282872.40603793</v>
      </c>
      <c r="AC66" s="18">
        <f t="shared" si="1"/>
        <v>17.402441240315614</v>
      </c>
      <c r="AD66" s="120">
        <f t="shared" si="2"/>
        <v>993976210.44763672</v>
      </c>
      <c r="AE66" s="121">
        <f t="shared" si="3"/>
        <v>646603677.98474109</v>
      </c>
      <c r="AF66" s="122">
        <f t="shared" si="4"/>
        <v>1640579888.4323778</v>
      </c>
      <c r="AG66" s="123">
        <f t="shared" si="5"/>
        <v>9.5162681339196666E-3</v>
      </c>
      <c r="AH66" s="124">
        <f t="shared" si="6"/>
        <v>6.1905445134449741E-3</v>
      </c>
      <c r="AI66" s="125">
        <f t="shared" si="7"/>
        <v>1.5706812647364642E-2</v>
      </c>
      <c r="AJ66" s="139">
        <v>252534.60631291589</v>
      </c>
      <c r="AK66" s="140">
        <v>164279.38973189559</v>
      </c>
      <c r="AL66" s="140">
        <f t="shared" si="8"/>
        <v>416813.99604481144</v>
      </c>
      <c r="AM66" s="131">
        <f t="shared" si="53"/>
        <v>0.39413117431458328</v>
      </c>
      <c r="AN66" s="129">
        <f t="shared" si="9"/>
        <v>0.60586882568541689</v>
      </c>
      <c r="AO66" s="130">
        <f t="shared" si="10"/>
        <v>0.39413117431458322</v>
      </c>
      <c r="AP66" s="32" t="s">
        <v>121</v>
      </c>
      <c r="AQ66" s="20" t="s">
        <v>226</v>
      </c>
      <c r="AR66" s="20" t="s">
        <v>227</v>
      </c>
      <c r="AS66" s="20" t="s">
        <v>228</v>
      </c>
      <c r="AT66" s="33" t="s">
        <v>152</v>
      </c>
      <c r="AU66" s="15" t="s">
        <v>60</v>
      </c>
      <c r="AV66" s="15"/>
      <c r="AW66" s="15"/>
      <c r="AX66" s="15"/>
      <c r="AY66" s="136">
        <v>6276.3511391995698</v>
      </c>
      <c r="AZ66" s="125">
        <v>2.2917579969727379E-2</v>
      </c>
      <c r="BA66" s="15"/>
      <c r="BB66" s="136">
        <v>6276.3511391995698</v>
      </c>
      <c r="BC66" s="131">
        <v>0.34396274294805379</v>
      </c>
      <c r="BD66" s="15"/>
      <c r="BE66" s="136">
        <v>6276.3511391995698</v>
      </c>
      <c r="BF66" s="18">
        <v>20.128226614716286</v>
      </c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</row>
    <row r="67" spans="1:71" ht="14.5" x14ac:dyDescent="0.35">
      <c r="A67" s="7">
        <v>66</v>
      </c>
      <c r="B67" s="23" t="s">
        <v>215</v>
      </c>
      <c r="C67" s="132"/>
      <c r="D67" s="132">
        <v>3.7539608568867999</v>
      </c>
      <c r="E67" s="132">
        <v>2.8899925456819999</v>
      </c>
      <c r="F67" s="133">
        <v>4.6179291680916004</v>
      </c>
      <c r="G67" s="23">
        <v>2.3572193359584701</v>
      </c>
      <c r="H67" s="132">
        <v>1.29469807065392</v>
      </c>
      <c r="I67" s="134">
        <v>3.7539608568867999</v>
      </c>
      <c r="J67" s="135">
        <v>826353</v>
      </c>
      <c r="K67" s="134">
        <v>2023</v>
      </c>
      <c r="L67" s="136">
        <v>17159509565.4676</v>
      </c>
      <c r="M67" s="132">
        <v>2023</v>
      </c>
      <c r="N67" s="136">
        <v>20765.350359310902</v>
      </c>
      <c r="O67" s="133">
        <v>2023</v>
      </c>
      <c r="P67" s="136">
        <v>11239370181.478399</v>
      </c>
      <c r="Q67" s="132">
        <v>2023</v>
      </c>
      <c r="R67" s="132">
        <v>13600</v>
      </c>
      <c r="S67" s="134">
        <v>2023</v>
      </c>
      <c r="T67" s="17">
        <v>45</v>
      </c>
      <c r="U67" s="133">
        <v>1998</v>
      </c>
      <c r="V67" s="23">
        <v>2.8211033509964101</v>
      </c>
      <c r="W67" s="134">
        <v>2023</v>
      </c>
      <c r="X67" s="137">
        <v>2.2040000000000002</v>
      </c>
      <c r="Y67" s="133">
        <v>2019</v>
      </c>
      <c r="Z67" s="135">
        <f t="shared" ref="Z67:AB67" si="80">(AJ67*40)* 48</f>
        <v>37399589.18260397</v>
      </c>
      <c r="AA67" s="135">
        <f t="shared" si="80"/>
        <v>20541650.587758318</v>
      </c>
      <c r="AB67" s="138">
        <f t="shared" si="80"/>
        <v>57941239.770362288</v>
      </c>
      <c r="AC67" s="18">
        <f t="shared" si="1"/>
        <v>24.858202956555271</v>
      </c>
      <c r="AD67" s="120">
        <f t="shared" si="2"/>
        <v>82428694.558459163</v>
      </c>
      <c r="AE67" s="121">
        <f t="shared" si="3"/>
        <v>45273797.895419337</v>
      </c>
      <c r="AF67" s="122">
        <f t="shared" si="4"/>
        <v>127702492.45387849</v>
      </c>
      <c r="AG67" s="123">
        <f t="shared" si="5"/>
        <v>4.8036742684267365E-3</v>
      </c>
      <c r="AH67" s="124">
        <f t="shared" si="6"/>
        <v>2.6384086166733995E-3</v>
      </c>
      <c r="AI67" s="125">
        <f t="shared" si="7"/>
        <v>7.4420828851001364E-3</v>
      </c>
      <c r="AJ67" s="139">
        <v>19478.952699272901</v>
      </c>
      <c r="AK67" s="140">
        <v>10698.77634779079</v>
      </c>
      <c r="AL67" s="140">
        <f t="shared" si="8"/>
        <v>30177.729047063691</v>
      </c>
      <c r="AM67" s="131">
        <f t="shared" si="53"/>
        <v>0.35452556191705176</v>
      </c>
      <c r="AN67" s="129">
        <f t="shared" si="9"/>
        <v>0.64547443808294824</v>
      </c>
      <c r="AO67" s="130">
        <f t="shared" si="10"/>
        <v>0.35452556191705176</v>
      </c>
      <c r="AP67" s="32" t="s">
        <v>121</v>
      </c>
      <c r="AQ67" s="20" t="s">
        <v>216</v>
      </c>
      <c r="AR67" s="20" t="s">
        <v>217</v>
      </c>
      <c r="AS67" s="20" t="s">
        <v>218</v>
      </c>
      <c r="AT67" s="33" t="s">
        <v>152</v>
      </c>
      <c r="AU67" s="15" t="s">
        <v>13</v>
      </c>
      <c r="AV67" s="15"/>
      <c r="AW67" s="15"/>
      <c r="AX67" s="15"/>
      <c r="AY67" s="136">
        <v>20765.350359310902</v>
      </c>
      <c r="AZ67" s="125">
        <v>7.4420828851001364E-3</v>
      </c>
      <c r="BA67" s="15"/>
      <c r="BB67" s="136">
        <v>20765.350359310902</v>
      </c>
      <c r="BC67" s="131">
        <v>0.35452556191705176</v>
      </c>
      <c r="BD67" s="15"/>
      <c r="BE67" s="136">
        <v>20765.350359310902</v>
      </c>
      <c r="BF67" s="18">
        <v>24.858202956555271</v>
      </c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</row>
    <row r="68" spans="1:71" ht="14.5" x14ac:dyDescent="0.35">
      <c r="A68" s="7">
        <v>67</v>
      </c>
      <c r="B68" s="23" t="s">
        <v>144</v>
      </c>
      <c r="C68" s="132"/>
      <c r="D68" s="132">
        <v>2.69691033813206</v>
      </c>
      <c r="E68" s="132">
        <v>1.89650186857902</v>
      </c>
      <c r="F68" s="133">
        <v>3.4973188076851001</v>
      </c>
      <c r="G68" s="23">
        <v>1.92292838218007</v>
      </c>
      <c r="H68" s="132">
        <v>0.90195757089578998</v>
      </c>
      <c r="I68" s="134">
        <v>2.69691033813206</v>
      </c>
      <c r="J68" s="135">
        <v>10644851</v>
      </c>
      <c r="K68" s="134">
        <v>2023</v>
      </c>
      <c r="L68" s="136">
        <v>34400509852.043602</v>
      </c>
      <c r="M68" s="132">
        <v>2023</v>
      </c>
      <c r="N68" s="136">
        <v>3231.65724461936</v>
      </c>
      <c r="O68" s="133">
        <v>2023</v>
      </c>
      <c r="P68" s="136">
        <v>30718597488.6796</v>
      </c>
      <c r="Q68" s="132">
        <v>2023</v>
      </c>
      <c r="R68" s="132">
        <v>2890</v>
      </c>
      <c r="S68" s="134">
        <v>2023</v>
      </c>
      <c r="T68" s="17">
        <v>48.2</v>
      </c>
      <c r="U68" s="133">
        <v>2019</v>
      </c>
      <c r="V68" s="23">
        <v>6.6632518034745702</v>
      </c>
      <c r="W68" s="134">
        <v>2023</v>
      </c>
      <c r="X68" s="137">
        <v>2.6269999999999998</v>
      </c>
      <c r="Y68" s="133">
        <v>2023</v>
      </c>
      <c r="Z68" s="135">
        <f t="shared" ref="Z68:AB68" si="81">(AJ68*40)* 48</f>
        <v>393010293.34997571</v>
      </c>
      <c r="AA68" s="135">
        <f t="shared" si="81"/>
        <v>184343115.84974629</v>
      </c>
      <c r="AB68" s="138">
        <f t="shared" si="81"/>
        <v>577353409.19972193</v>
      </c>
      <c r="AC68" s="18">
        <f t="shared" si="1"/>
        <v>17.317585361199164</v>
      </c>
      <c r="AD68" s="120">
        <f t="shared" si="2"/>
        <v>1032438040.6303861</v>
      </c>
      <c r="AE68" s="121">
        <f t="shared" si="3"/>
        <v>484269365.33728343</v>
      </c>
      <c r="AF68" s="122">
        <f t="shared" si="4"/>
        <v>1516707405.9676695</v>
      </c>
      <c r="AG68" s="123">
        <f t="shared" si="5"/>
        <v>3.0012288918707782E-2</v>
      </c>
      <c r="AH68" s="124">
        <f t="shared" si="6"/>
        <v>1.407738918464067E-2</v>
      </c>
      <c r="AI68" s="125">
        <f t="shared" si="7"/>
        <v>4.4089678103348448E-2</v>
      </c>
      <c r="AJ68" s="139">
        <v>204692.861119779</v>
      </c>
      <c r="AK68" s="140">
        <v>96012.039505076202</v>
      </c>
      <c r="AL68" s="140">
        <f t="shared" si="8"/>
        <v>300704.90062485519</v>
      </c>
      <c r="AM68" s="131">
        <f t="shared" si="53"/>
        <v>0.31928990616902564</v>
      </c>
      <c r="AN68" s="129">
        <f t="shared" si="9"/>
        <v>0.68071009383097436</v>
      </c>
      <c r="AO68" s="130">
        <f t="shared" si="10"/>
        <v>0.31928990616902569</v>
      </c>
      <c r="AP68" s="44" t="s">
        <v>121</v>
      </c>
      <c r="AQ68" s="15" t="s">
        <v>145</v>
      </c>
      <c r="AR68" s="15" t="s">
        <v>146</v>
      </c>
      <c r="AS68" s="15" t="s">
        <v>147</v>
      </c>
      <c r="AT68" s="45" t="s">
        <v>59</v>
      </c>
      <c r="AU68" s="15" t="s">
        <v>13</v>
      </c>
      <c r="AV68" s="15"/>
      <c r="AW68" s="15"/>
      <c r="AX68" s="15"/>
      <c r="AY68" s="136">
        <v>30133.304450454001</v>
      </c>
      <c r="AZ68" s="125">
        <v>2.8753843250756847E-2</v>
      </c>
      <c r="BA68" s="15"/>
      <c r="BB68" s="136">
        <v>30133.304450454001</v>
      </c>
      <c r="BC68" s="131">
        <v>0.25804546018569363</v>
      </c>
      <c r="BD68" s="15"/>
      <c r="BE68" s="136">
        <v>30133.304450454001</v>
      </c>
      <c r="BF68" s="18">
        <v>26.937717301503742</v>
      </c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</row>
    <row r="69" spans="1:71" ht="14.5" x14ac:dyDescent="0.35">
      <c r="A69" s="7">
        <v>68</v>
      </c>
      <c r="B69" s="23" t="s">
        <v>195</v>
      </c>
      <c r="C69" s="132"/>
      <c r="D69" s="132">
        <v>4.9818461070824602</v>
      </c>
      <c r="E69" s="132">
        <v>2.78755945217301</v>
      </c>
      <c r="F69" s="133">
        <v>7.1761327619919104</v>
      </c>
      <c r="G69" s="23">
        <v>3.03283056452223</v>
      </c>
      <c r="H69" s="132">
        <v>2.2569899033004899</v>
      </c>
      <c r="I69" s="134">
        <v>4.9818461070824602</v>
      </c>
      <c r="J69" s="135">
        <v>2839786</v>
      </c>
      <c r="K69" s="134">
        <v>2023</v>
      </c>
      <c r="L69" s="136">
        <v>19423355409.231602</v>
      </c>
      <c r="M69" s="132">
        <v>2023</v>
      </c>
      <c r="N69" s="136">
        <v>6839.7250388696802</v>
      </c>
      <c r="O69" s="133">
        <v>2023</v>
      </c>
      <c r="P69" s="136">
        <v>17606151760.4622</v>
      </c>
      <c r="Q69" s="132">
        <v>2023</v>
      </c>
      <c r="R69" s="132">
        <v>6200</v>
      </c>
      <c r="S69" s="134">
        <v>2023</v>
      </c>
      <c r="T69" s="17">
        <v>40.200000000000003</v>
      </c>
      <c r="U69" s="133">
        <v>2021</v>
      </c>
      <c r="V69" s="23">
        <v>6.4741373466206298</v>
      </c>
      <c r="W69" s="134">
        <v>2023</v>
      </c>
      <c r="X69" s="137">
        <v>1.9139999999999999</v>
      </c>
      <c r="Y69" s="133">
        <v>2014</v>
      </c>
      <c r="Z69" s="135">
        <f t="shared" ref="Z69:AB69" si="82">(AJ69*40)* 48</f>
        <v>165361723.72804466</v>
      </c>
      <c r="AA69" s="135">
        <f t="shared" si="82"/>
        <v>123059871.92705441</v>
      </c>
      <c r="AB69" s="138">
        <f t="shared" si="82"/>
        <v>288421595.65509909</v>
      </c>
      <c r="AC69" s="18">
        <f t="shared" si="1"/>
        <v>43.3342061433694</v>
      </c>
      <c r="AD69" s="120">
        <f t="shared" si="2"/>
        <v>316502339.21547747</v>
      </c>
      <c r="AE69" s="121">
        <f t="shared" si="3"/>
        <v>235536594.86838213</v>
      </c>
      <c r="AF69" s="122">
        <f t="shared" si="4"/>
        <v>552038934.08385956</v>
      </c>
      <c r="AG69" s="123">
        <f t="shared" si="5"/>
        <v>1.6294936304622688E-2</v>
      </c>
      <c r="AH69" s="124">
        <f t="shared" si="6"/>
        <v>1.2126462699458995E-2</v>
      </c>
      <c r="AI69" s="125">
        <f t="shared" si="7"/>
        <v>2.8421399004081683E-2</v>
      </c>
      <c r="AJ69" s="139">
        <v>86125.897775023259</v>
      </c>
      <c r="AK69" s="140">
        <v>64093.683295340838</v>
      </c>
      <c r="AL69" s="140">
        <f t="shared" si="8"/>
        <v>150219.5810703641</v>
      </c>
      <c r="AM69" s="131">
        <f t="shared" si="53"/>
        <v>0.42666663585833614</v>
      </c>
      <c r="AN69" s="129">
        <f t="shared" si="9"/>
        <v>0.57333336414166391</v>
      </c>
      <c r="AO69" s="130">
        <f t="shared" si="10"/>
        <v>0.42666663585833609</v>
      </c>
      <c r="AP69" s="19" t="s">
        <v>121</v>
      </c>
      <c r="AQ69" s="20" t="s">
        <v>196</v>
      </c>
      <c r="AR69" s="20" t="s">
        <v>197</v>
      </c>
      <c r="AS69" s="20" t="s">
        <v>198</v>
      </c>
      <c r="AT69" s="21" t="s">
        <v>152</v>
      </c>
      <c r="AU69" s="22" t="s">
        <v>60</v>
      </c>
      <c r="AV69" s="15"/>
      <c r="AW69" s="15"/>
      <c r="AX69" s="15"/>
      <c r="AY69" s="35"/>
      <c r="AZ69" s="125"/>
      <c r="BA69" s="15"/>
      <c r="BB69" s="136"/>
      <c r="BC69" s="131"/>
      <c r="BD69" s="15"/>
      <c r="BE69" s="136"/>
      <c r="BF69" s="18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</row>
    <row r="70" spans="1:71" ht="14.5" x14ac:dyDescent="0.35">
      <c r="A70" s="7">
        <v>69</v>
      </c>
      <c r="B70" s="23" t="s">
        <v>207</v>
      </c>
      <c r="C70" s="132">
        <v>3.23418639346486</v>
      </c>
      <c r="D70" s="132">
        <v>2.9221060280187201</v>
      </c>
      <c r="E70" s="132">
        <v>2.1016643946653102</v>
      </c>
      <c r="F70" s="133">
        <v>3.7425476613721198</v>
      </c>
      <c r="G70" s="23">
        <v>1.18917751157429</v>
      </c>
      <c r="H70" s="132">
        <v>1.2200025579893901</v>
      </c>
      <c r="I70" s="134">
        <v>3.23418639346486</v>
      </c>
      <c r="J70" s="135">
        <v>129739759</v>
      </c>
      <c r="K70" s="134">
        <v>2023</v>
      </c>
      <c r="L70" s="136">
        <v>1789114434843.46</v>
      </c>
      <c r="M70" s="132">
        <v>2023</v>
      </c>
      <c r="N70" s="136">
        <v>13790.0243428344</v>
      </c>
      <c r="O70" s="133">
        <v>2023</v>
      </c>
      <c r="P70" s="136">
        <v>1554141013602.26</v>
      </c>
      <c r="Q70" s="132">
        <v>2023</v>
      </c>
      <c r="R70" s="132">
        <v>11980</v>
      </c>
      <c r="S70" s="134">
        <v>2023</v>
      </c>
      <c r="T70" s="17">
        <v>43.5</v>
      </c>
      <c r="U70" s="133">
        <v>2022</v>
      </c>
      <c r="V70" s="23">
        <v>5.5279608731438898</v>
      </c>
      <c r="W70" s="134">
        <v>2023</v>
      </c>
      <c r="X70" s="137">
        <v>2.86</v>
      </c>
      <c r="Y70" s="133">
        <v>2023</v>
      </c>
      <c r="Z70" s="135">
        <f t="shared" ref="Z70:AB70" si="83">(AJ70*40)* 48</f>
        <v>2962245192.1894674</v>
      </c>
      <c r="AA70" s="135">
        <f t="shared" si="83"/>
        <v>3039030486.7761984</v>
      </c>
      <c r="AB70" s="138">
        <f t="shared" si="83"/>
        <v>6001275678.9656658</v>
      </c>
      <c r="AC70" s="18">
        <f t="shared" si="1"/>
        <v>23.42404911339629</v>
      </c>
      <c r="AD70" s="120">
        <f t="shared" si="2"/>
        <v>8472021249.6618767</v>
      </c>
      <c r="AE70" s="121">
        <f t="shared" si="3"/>
        <v>8691627192.1799278</v>
      </c>
      <c r="AF70" s="122">
        <f t="shared" si="4"/>
        <v>17163648441.841805</v>
      </c>
      <c r="AG70" s="123">
        <f t="shared" si="5"/>
        <v>4.7353154637104827E-3</v>
      </c>
      <c r="AH70" s="124">
        <f t="shared" si="6"/>
        <v>4.8580610736285341E-3</v>
      </c>
      <c r="AI70" s="125">
        <f t="shared" si="7"/>
        <v>9.5933765373390177E-3</v>
      </c>
      <c r="AJ70" s="139">
        <v>1542836.0375986809</v>
      </c>
      <c r="AK70" s="140">
        <v>1582828.3785292699</v>
      </c>
      <c r="AL70" s="140">
        <f t="shared" si="8"/>
        <v>3125664.4161279509</v>
      </c>
      <c r="AM70" s="131">
        <f t="shared" si="53"/>
        <v>0.50639741437440222</v>
      </c>
      <c r="AN70" s="129">
        <f t="shared" si="9"/>
        <v>0.49360258562559778</v>
      </c>
      <c r="AO70" s="130">
        <f t="shared" si="10"/>
        <v>0.50639741437440222</v>
      </c>
      <c r="AP70" s="19" t="s">
        <v>121</v>
      </c>
      <c r="AQ70" s="20" t="s">
        <v>208</v>
      </c>
      <c r="AR70" s="20">
        <v>-99.127600000000001</v>
      </c>
      <c r="AS70" s="20">
        <v>19.427</v>
      </c>
      <c r="AT70" s="21" t="s">
        <v>152</v>
      </c>
      <c r="AU70" s="22" t="s">
        <v>60</v>
      </c>
      <c r="AV70" s="15"/>
      <c r="AW70" s="15"/>
      <c r="AX70" s="15"/>
      <c r="AY70" s="136">
        <v>3804.8725797521001</v>
      </c>
      <c r="AZ70" s="125">
        <v>2.2360289149478518E-2</v>
      </c>
      <c r="BA70" s="15"/>
      <c r="BB70" s="136">
        <v>3804.8725797521001</v>
      </c>
      <c r="BC70" s="131">
        <v>0.55012025817774113</v>
      </c>
      <c r="BD70" s="15"/>
      <c r="BE70" s="136">
        <v>3804.8725797521001</v>
      </c>
      <c r="BF70" s="18">
        <v>24.908546787911042</v>
      </c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</row>
    <row r="71" spans="1:71" ht="14.5" x14ac:dyDescent="0.35">
      <c r="A71" s="7">
        <v>70</v>
      </c>
      <c r="B71" s="23" t="s">
        <v>358</v>
      </c>
      <c r="C71" s="132"/>
      <c r="D71" s="132">
        <v>4.3632105917448403</v>
      </c>
      <c r="E71" s="132">
        <v>3.51422752497679</v>
      </c>
      <c r="F71" s="133">
        <v>5.2121936585128896</v>
      </c>
      <c r="G71" s="23">
        <v>2.6856143661744798</v>
      </c>
      <c r="H71" s="132">
        <v>1.6471826467225199</v>
      </c>
      <c r="I71" s="134">
        <v>4.3632105917448403</v>
      </c>
      <c r="J71" s="135">
        <v>4458759</v>
      </c>
      <c r="K71" s="134">
        <v>2023</v>
      </c>
      <c r="L71" s="136">
        <v>83318176900</v>
      </c>
      <c r="M71" s="132">
        <v>2023</v>
      </c>
      <c r="N71" s="136">
        <v>18686.405096126498</v>
      </c>
      <c r="O71" s="133">
        <v>2023</v>
      </c>
      <c r="P71" s="136">
        <v>79685559187.477707</v>
      </c>
      <c r="Q71" s="132">
        <v>2023</v>
      </c>
      <c r="R71" s="132">
        <v>17870</v>
      </c>
      <c r="S71" s="134">
        <v>2023</v>
      </c>
      <c r="T71" s="17">
        <v>48.9</v>
      </c>
      <c r="U71" s="133">
        <v>2023</v>
      </c>
      <c r="V71" s="23">
        <v>1.4864135527703799</v>
      </c>
      <c r="W71" s="134">
        <v>2023</v>
      </c>
      <c r="X71" s="137">
        <v>5.3460000000000001</v>
      </c>
      <c r="Y71" s="133">
        <v>2023</v>
      </c>
      <c r="Z71" s="135">
        <f t="shared" ref="Z71:AB71" si="84">(AJ71*40)* 48</f>
        <v>229910538.73362738</v>
      </c>
      <c r="AA71" s="135">
        <f t="shared" si="84"/>
        <v>141012296.65378284</v>
      </c>
      <c r="AB71" s="138">
        <f t="shared" si="84"/>
        <v>370922835.38741022</v>
      </c>
      <c r="AC71" s="18">
        <f t="shared" si="1"/>
        <v>31.625906817072384</v>
      </c>
      <c r="AD71" s="120">
        <f t="shared" si="2"/>
        <v>1229101740.069972</v>
      </c>
      <c r="AE71" s="121">
        <f t="shared" si="3"/>
        <v>753851737.91112316</v>
      </c>
      <c r="AF71" s="122">
        <f t="shared" si="4"/>
        <v>1982953477.9810953</v>
      </c>
      <c r="AG71" s="123">
        <f t="shared" si="5"/>
        <v>1.4751903915818543E-2</v>
      </c>
      <c r="AH71" s="124">
        <f t="shared" si="6"/>
        <v>9.0478664555503872E-3</v>
      </c>
      <c r="AI71" s="125">
        <f t="shared" si="7"/>
        <v>2.379977037136893E-2</v>
      </c>
      <c r="AJ71" s="139">
        <v>119745.07225709761</v>
      </c>
      <c r="AK71" s="140">
        <v>73443.904507178551</v>
      </c>
      <c r="AL71" s="140">
        <f t="shared" si="8"/>
        <v>193188.97676427616</v>
      </c>
      <c r="AM71" s="131">
        <f t="shared" si="53"/>
        <v>0.38016612405785855</v>
      </c>
      <c r="AN71" s="129">
        <f t="shared" si="9"/>
        <v>0.61983387594214145</v>
      </c>
      <c r="AO71" s="130">
        <f t="shared" si="10"/>
        <v>0.38016612405785849</v>
      </c>
      <c r="AP71" s="44" t="s">
        <v>121</v>
      </c>
      <c r="AQ71" s="15" t="s">
        <v>359</v>
      </c>
      <c r="AR71" s="15">
        <v>-79.518799999999999</v>
      </c>
      <c r="AS71" s="15">
        <v>8.9942700000000002</v>
      </c>
      <c r="AT71" s="45" t="s">
        <v>247</v>
      </c>
      <c r="AU71" s="15" t="s">
        <v>60</v>
      </c>
      <c r="AV71" s="15"/>
      <c r="AW71" s="15"/>
      <c r="AX71" s="15"/>
      <c r="AY71" s="136">
        <v>7820.2324037507597</v>
      </c>
      <c r="AZ71" s="125">
        <v>5.0309677065776034E-2</v>
      </c>
      <c r="BA71" s="15"/>
      <c r="BB71" s="136">
        <v>7820.2324037507597</v>
      </c>
      <c r="BC71" s="131">
        <v>0.41224297552757677</v>
      </c>
      <c r="BD71" s="15"/>
      <c r="BE71" s="136">
        <v>7820.2324037507597</v>
      </c>
      <c r="BF71" s="18">
        <v>55.563597741150716</v>
      </c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</row>
    <row r="72" spans="1:71" ht="14.5" x14ac:dyDescent="0.35">
      <c r="A72" s="7">
        <v>71</v>
      </c>
      <c r="B72" s="23" t="s">
        <v>219</v>
      </c>
      <c r="C72" s="132"/>
      <c r="D72" s="132">
        <v>2.9581678813434702</v>
      </c>
      <c r="E72" s="132">
        <v>2.1404364724249798</v>
      </c>
      <c r="F72" s="133">
        <v>3.7758992902619601</v>
      </c>
      <c r="G72" s="23">
        <v>1.99949989260669</v>
      </c>
      <c r="H72" s="132">
        <v>1.04834513618314</v>
      </c>
      <c r="I72" s="134">
        <v>2.9581678813434702</v>
      </c>
      <c r="J72" s="135">
        <v>6844146</v>
      </c>
      <c r="K72" s="134">
        <v>2023</v>
      </c>
      <c r="L72" s="136">
        <v>42956263543.948196</v>
      </c>
      <c r="M72" s="132">
        <v>2023</v>
      </c>
      <c r="N72" s="136">
        <v>6276.3511391995698</v>
      </c>
      <c r="O72" s="133">
        <v>2023</v>
      </c>
      <c r="P72" s="136">
        <v>42537624853.6259</v>
      </c>
      <c r="Q72" s="132">
        <v>2023</v>
      </c>
      <c r="R72" s="132">
        <v>6220</v>
      </c>
      <c r="S72" s="134">
        <v>2023</v>
      </c>
      <c r="T72" s="17">
        <v>45.1</v>
      </c>
      <c r="U72" s="133">
        <v>2022</v>
      </c>
      <c r="V72" s="23">
        <v>4.6320228540335604</v>
      </c>
      <c r="W72" s="134">
        <v>2023</v>
      </c>
      <c r="X72" s="137">
        <v>2.4580000000000002</v>
      </c>
      <c r="Y72" s="133">
        <v>2023</v>
      </c>
      <c r="Z72" s="135">
        <f t="shared" ref="Z72:AB72" si="85">(AJ72*40)* 48</f>
        <v>262749488.48610258</v>
      </c>
      <c r="AA72" s="135">
        <f t="shared" si="85"/>
        <v>137760521.67220402</v>
      </c>
      <c r="AB72" s="138">
        <f t="shared" si="85"/>
        <v>400510010.1583066</v>
      </c>
      <c r="AC72" s="18">
        <f t="shared" si="1"/>
        <v>20.128226614716286</v>
      </c>
      <c r="AD72" s="120">
        <f t="shared" si="2"/>
        <v>645838242.69884014</v>
      </c>
      <c r="AE72" s="121">
        <f t="shared" si="3"/>
        <v>338615362.2702775</v>
      </c>
      <c r="AF72" s="122">
        <f t="shared" si="4"/>
        <v>984453604.96911764</v>
      </c>
      <c r="AG72" s="123">
        <f t="shared" si="5"/>
        <v>1.5034786301608575E-2</v>
      </c>
      <c r="AH72" s="124">
        <f t="shared" si="6"/>
        <v>7.8827936681188041E-3</v>
      </c>
      <c r="AI72" s="125">
        <f t="shared" si="7"/>
        <v>2.2917579969727379E-2</v>
      </c>
      <c r="AJ72" s="139">
        <v>136848.69191984509</v>
      </c>
      <c r="AK72" s="140">
        <v>71750.27170427292</v>
      </c>
      <c r="AL72" s="140">
        <f t="shared" si="8"/>
        <v>208598.96362411801</v>
      </c>
      <c r="AM72" s="131">
        <f t="shared" si="53"/>
        <v>0.34396274294805379</v>
      </c>
      <c r="AN72" s="129">
        <f t="shared" si="9"/>
        <v>0.65603725705194627</v>
      </c>
      <c r="AO72" s="130">
        <f t="shared" si="10"/>
        <v>0.34396274294805373</v>
      </c>
      <c r="AP72" s="19" t="s">
        <v>121</v>
      </c>
      <c r="AQ72" s="15" t="s">
        <v>220</v>
      </c>
      <c r="AR72" s="15">
        <v>-57.636200000000002</v>
      </c>
      <c r="AS72" s="15">
        <v>-25.3005</v>
      </c>
      <c r="AT72" s="45" t="s">
        <v>152</v>
      </c>
      <c r="AU72" s="15" t="s">
        <v>60</v>
      </c>
      <c r="AV72" s="15"/>
      <c r="AW72" s="15"/>
      <c r="AX72" s="15"/>
      <c r="AY72" s="35"/>
      <c r="AZ72" s="125"/>
      <c r="BA72" s="15"/>
      <c r="BB72" s="136"/>
      <c r="BC72" s="131"/>
      <c r="BD72" s="15"/>
      <c r="BE72" s="136"/>
      <c r="BF72" s="18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</row>
    <row r="73" spans="1:71" ht="14.5" x14ac:dyDescent="0.35">
      <c r="A73" s="7">
        <v>72</v>
      </c>
      <c r="B73" s="23" t="s">
        <v>199</v>
      </c>
      <c r="C73" s="132">
        <v>2.1872038161498999</v>
      </c>
      <c r="D73" s="132">
        <v>2.53182829740742</v>
      </c>
      <c r="E73" s="132">
        <v>1.69036473991902</v>
      </c>
      <c r="F73" s="133">
        <v>3.37329185489582</v>
      </c>
      <c r="G73" s="23">
        <v>1.5932889544231701</v>
      </c>
      <c r="H73" s="132">
        <v>1.1084289716754101</v>
      </c>
      <c r="I73" s="134">
        <v>2.1872038161498999</v>
      </c>
      <c r="J73" s="135">
        <v>33845617</v>
      </c>
      <c r="K73" s="134">
        <v>2023</v>
      </c>
      <c r="L73" s="136">
        <v>267603248655.25299</v>
      </c>
      <c r="M73" s="132">
        <v>2023</v>
      </c>
      <c r="N73" s="136">
        <v>7906.5850285799997</v>
      </c>
      <c r="O73" s="133">
        <v>2023</v>
      </c>
      <c r="P73" s="136">
        <v>239833568032.405</v>
      </c>
      <c r="Q73" s="132">
        <v>2023</v>
      </c>
      <c r="R73" s="132">
        <v>7090</v>
      </c>
      <c r="S73" s="134">
        <v>2023</v>
      </c>
      <c r="T73" s="17">
        <v>40.299999999999997</v>
      </c>
      <c r="U73" s="133">
        <v>2022</v>
      </c>
      <c r="V73" s="23">
        <v>6.4556134836958599</v>
      </c>
      <c r="W73" s="134">
        <v>2023</v>
      </c>
      <c r="X73" s="137">
        <v>2.585</v>
      </c>
      <c r="Y73" s="133">
        <v>2023</v>
      </c>
      <c r="Z73" s="135">
        <f t="shared" ref="Z73:AB73" si="86">(AJ73*40)* 48</f>
        <v>1035376276.2573516</v>
      </c>
      <c r="AA73" s="135">
        <f t="shared" si="86"/>
        <v>720296878.98297167</v>
      </c>
      <c r="AB73" s="138">
        <f t="shared" si="86"/>
        <v>1755673155.2403231</v>
      </c>
      <c r="AC73" s="18">
        <f t="shared" si="1"/>
        <v>21.281836256167871</v>
      </c>
      <c r="AD73" s="120">
        <f t="shared" si="2"/>
        <v>2676447674.1252542</v>
      </c>
      <c r="AE73" s="121">
        <f t="shared" si="3"/>
        <v>1861967432.1709816</v>
      </c>
      <c r="AF73" s="122">
        <f t="shared" si="4"/>
        <v>4538415106.296236</v>
      </c>
      <c r="AG73" s="123">
        <f t="shared" si="5"/>
        <v>1.000155150423177E-2</v>
      </c>
      <c r="AH73" s="124">
        <f t="shared" si="6"/>
        <v>6.9579403147295524E-3</v>
      </c>
      <c r="AI73" s="125">
        <f t="shared" si="7"/>
        <v>1.6959491818961323E-2</v>
      </c>
      <c r="AJ73" s="139">
        <v>539258.47721737064</v>
      </c>
      <c r="AK73" s="140">
        <v>375154.62447029777</v>
      </c>
      <c r="AL73" s="140">
        <f t="shared" si="8"/>
        <v>914413.10168766836</v>
      </c>
      <c r="AM73" s="131">
        <f t="shared" si="53"/>
        <v>0.41026820785693141</v>
      </c>
      <c r="AN73" s="129">
        <f t="shared" si="9"/>
        <v>0.58973179214306859</v>
      </c>
      <c r="AO73" s="130">
        <f t="shared" si="10"/>
        <v>0.41026820785693152</v>
      </c>
      <c r="AP73" s="19" t="s">
        <v>121</v>
      </c>
      <c r="AQ73" s="15" t="s">
        <v>200</v>
      </c>
      <c r="AR73" s="15">
        <v>-77.046499999999995</v>
      </c>
      <c r="AS73" s="15">
        <v>-12.0931</v>
      </c>
      <c r="AT73" s="45" t="s">
        <v>152</v>
      </c>
      <c r="AU73" s="15" t="s">
        <v>60</v>
      </c>
      <c r="AV73" s="15"/>
      <c r="AW73" s="15"/>
      <c r="AX73" s="15"/>
      <c r="AY73" s="136">
        <v>31591.177073296902</v>
      </c>
      <c r="AZ73" s="125">
        <v>2.1900199189397878E-2</v>
      </c>
      <c r="BA73" s="15"/>
      <c r="BB73" s="136">
        <v>31591.177073296902</v>
      </c>
      <c r="BC73" s="131">
        <v>0.19834916903399197</v>
      </c>
      <c r="BD73" s="15"/>
      <c r="BE73" s="136">
        <v>31591.177073296902</v>
      </c>
      <c r="BF73" s="18">
        <v>14.294633503519256</v>
      </c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</row>
    <row r="74" spans="1:71" ht="14.5" x14ac:dyDescent="0.35">
      <c r="A74" s="7">
        <v>73</v>
      </c>
      <c r="B74" s="16" t="s">
        <v>350</v>
      </c>
      <c r="C74" s="132"/>
      <c r="D74" s="132">
        <v>6.2763106523497001</v>
      </c>
      <c r="E74" s="132">
        <v>5.28084293283582</v>
      </c>
      <c r="F74" s="133">
        <v>7.27177837186359</v>
      </c>
      <c r="G74" s="23">
        <v>3.6715006174509601</v>
      </c>
      <c r="H74" s="132">
        <v>2.26676387638717</v>
      </c>
      <c r="I74" s="134">
        <v>6.2763106523497001</v>
      </c>
      <c r="J74" s="135">
        <v>3388081</v>
      </c>
      <c r="K74" s="134">
        <v>2023</v>
      </c>
      <c r="L74" s="136">
        <v>77240830877.459702</v>
      </c>
      <c r="M74" s="132">
        <v>2023</v>
      </c>
      <c r="N74" s="136">
        <v>22797.811173186099</v>
      </c>
      <c r="O74" s="133">
        <v>2023</v>
      </c>
      <c r="P74" s="136">
        <v>66758661272.3293</v>
      </c>
      <c r="Q74" s="132">
        <v>2023</v>
      </c>
      <c r="R74" s="132">
        <v>19700</v>
      </c>
      <c r="S74" s="134">
        <v>2023</v>
      </c>
      <c r="T74" s="17">
        <v>40.6</v>
      </c>
      <c r="U74" s="133">
        <v>2022</v>
      </c>
      <c r="V74" s="23">
        <v>5.8691035989611899</v>
      </c>
      <c r="W74" s="134">
        <v>2023</v>
      </c>
      <c r="X74" s="141">
        <v>5.4998750000000003</v>
      </c>
      <c r="Y74" s="142">
        <v>2020</v>
      </c>
      <c r="Z74" s="135">
        <f t="shared" ref="Z74:AB74" si="87">(AJ74*40)* 48</f>
        <v>238835356.48269826</v>
      </c>
      <c r="AA74" s="135">
        <f t="shared" si="87"/>
        <v>147455608.7246154</v>
      </c>
      <c r="AB74" s="138">
        <f t="shared" si="87"/>
        <v>386290965.20731372</v>
      </c>
      <c r="AC74" s="18">
        <f t="shared" si="1"/>
        <v>43.521866426633657</v>
      </c>
      <c r="AD74" s="120">
        <f t="shared" si="2"/>
        <v>1313564606.2352803</v>
      </c>
      <c r="AE74" s="121">
        <f t="shared" si="3"/>
        <v>810987416.03429413</v>
      </c>
      <c r="AF74" s="122">
        <f t="shared" si="4"/>
        <v>2124552022.2695744</v>
      </c>
      <c r="AG74" s="123">
        <f t="shared" si="5"/>
        <v>1.7006091096031989E-2</v>
      </c>
      <c r="AH74" s="124">
        <f t="shared" si="6"/>
        <v>1.0499465202813545E-2</v>
      </c>
      <c r="AI74" s="125">
        <f t="shared" si="7"/>
        <v>2.7505556298845532E-2</v>
      </c>
      <c r="AJ74" s="139">
        <v>124393.41483473869</v>
      </c>
      <c r="AK74" s="140">
        <v>76799.796210737186</v>
      </c>
      <c r="AL74" s="140">
        <f t="shared" si="8"/>
        <v>201193.21104547588</v>
      </c>
      <c r="AM74" s="128">
        <f t="shared" ref="AM74:AM75" si="88">AJ74/AL74</f>
        <v>0.61827839114621985</v>
      </c>
      <c r="AN74" s="129">
        <f t="shared" si="9"/>
        <v>0.61827839114621985</v>
      </c>
      <c r="AO74" s="130">
        <f t="shared" si="10"/>
        <v>0.38172160885378015</v>
      </c>
      <c r="AP74" s="19" t="s">
        <v>121</v>
      </c>
      <c r="AQ74" s="20" t="s">
        <v>351</v>
      </c>
      <c r="AR74" s="20">
        <v>-56.067500000000003</v>
      </c>
      <c r="AS74" s="20">
        <v>-34.894100000000002</v>
      </c>
      <c r="AT74" s="21" t="s">
        <v>247</v>
      </c>
      <c r="AU74" s="22" t="s">
        <v>60</v>
      </c>
      <c r="AV74" s="15"/>
      <c r="AW74" s="15"/>
      <c r="AX74" s="15"/>
      <c r="AY74" s="136">
        <v>36551.41796875</v>
      </c>
      <c r="AZ74" s="125">
        <v>0.10899171498040691</v>
      </c>
      <c r="BA74" s="15"/>
      <c r="BB74" s="136">
        <v>36551.41796875</v>
      </c>
      <c r="BC74" s="131">
        <v>0.40958236774625356</v>
      </c>
      <c r="BD74" s="15"/>
      <c r="BE74" s="136">
        <v>36551.41796875</v>
      </c>
      <c r="BF74" s="18">
        <v>86.518520873332619</v>
      </c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</row>
    <row r="75" spans="1:71" ht="14.5" x14ac:dyDescent="0.35">
      <c r="A75" s="7">
        <v>74</v>
      </c>
      <c r="B75" s="16" t="s">
        <v>131</v>
      </c>
      <c r="C75" s="132"/>
      <c r="D75" s="132">
        <v>8.7630886519478608</v>
      </c>
      <c r="E75" s="132">
        <v>6.3464422282888897</v>
      </c>
      <c r="F75" s="133">
        <v>11.1797350756068</v>
      </c>
      <c r="G75" s="23">
        <v>5.2400637812375397</v>
      </c>
      <c r="H75" s="132">
        <v>3.1322329560437399</v>
      </c>
      <c r="I75" s="134">
        <v>8.7630886519478608</v>
      </c>
      <c r="J75" s="135">
        <v>1152944</v>
      </c>
      <c r="K75" s="134">
        <v>2023</v>
      </c>
      <c r="L75" s="136">
        <v>4098530513.5577698</v>
      </c>
      <c r="M75" s="132">
        <v>2023</v>
      </c>
      <c r="N75" s="136">
        <v>3554.8391886837198</v>
      </c>
      <c r="O75" s="133">
        <v>2023</v>
      </c>
      <c r="P75" s="136">
        <v>3921774065.18753</v>
      </c>
      <c r="Q75" s="132">
        <v>2023</v>
      </c>
      <c r="R75" s="132">
        <v>3400</v>
      </c>
      <c r="S75" s="134">
        <v>2023</v>
      </c>
      <c r="T75" s="17">
        <v>41.6</v>
      </c>
      <c r="U75" s="133">
        <v>2017</v>
      </c>
      <c r="V75" s="23">
        <v>1.4950681651508799</v>
      </c>
      <c r="W75" s="134">
        <v>2023</v>
      </c>
      <c r="X75" s="141">
        <v>3.3586437500000001</v>
      </c>
      <c r="Y75" s="142">
        <v>2017</v>
      </c>
      <c r="Z75" s="135">
        <f t="shared" ref="Z75:AB75" si="89">(AJ75*40)* 48</f>
        <v>115996801.84694657</v>
      </c>
      <c r="AA75" s="135">
        <f t="shared" si="89"/>
        <v>69336752.510839567</v>
      </c>
      <c r="AB75" s="138">
        <f t="shared" si="89"/>
        <v>185333554.35778612</v>
      </c>
      <c r="AC75" s="18">
        <f t="shared" si="1"/>
        <v>60.138872756039817</v>
      </c>
      <c r="AD75" s="120">
        <f t="shared" si="2"/>
        <v>389591933.54323554</v>
      </c>
      <c r="AE75" s="121">
        <f t="shared" si="3"/>
        <v>232877450.46582812</v>
      </c>
      <c r="AF75" s="122">
        <f t="shared" si="4"/>
        <v>622469384.00906372</v>
      </c>
      <c r="AG75" s="123">
        <f t="shared" si="5"/>
        <v>9.5056492138946264E-2</v>
      </c>
      <c r="AH75" s="124">
        <f t="shared" si="6"/>
        <v>5.6819743001907425E-2</v>
      </c>
      <c r="AI75" s="125">
        <f t="shared" si="7"/>
        <v>0.15187623514085369</v>
      </c>
      <c r="AJ75" s="139">
        <v>60415.000961951337</v>
      </c>
      <c r="AK75" s="140">
        <v>36112.89193272894</v>
      </c>
      <c r="AL75" s="140">
        <f t="shared" si="8"/>
        <v>96527.892894680277</v>
      </c>
      <c r="AM75" s="128">
        <f t="shared" si="88"/>
        <v>0.62588127794179638</v>
      </c>
      <c r="AN75" s="129">
        <f t="shared" si="9"/>
        <v>0.62588127794179638</v>
      </c>
      <c r="AO75" s="130">
        <f t="shared" si="10"/>
        <v>0.37411872205820362</v>
      </c>
      <c r="AP75" s="19" t="s">
        <v>77</v>
      </c>
      <c r="AQ75" s="20" t="s">
        <v>131</v>
      </c>
      <c r="AR75" s="20" t="s">
        <v>132</v>
      </c>
      <c r="AS75" s="20" t="s">
        <v>133</v>
      </c>
      <c r="AT75" s="21" t="s">
        <v>59</v>
      </c>
      <c r="AU75" s="22" t="s">
        <v>13</v>
      </c>
      <c r="AV75" s="15"/>
      <c r="AW75" s="15"/>
      <c r="AX75" s="15"/>
      <c r="AY75" s="136">
        <v>2066.9497977695701</v>
      </c>
      <c r="AZ75" s="125">
        <v>4.9123810691542216E-2</v>
      </c>
      <c r="BB75" s="136">
        <v>2066.9497977695701</v>
      </c>
      <c r="BC75" s="131">
        <v>0.42797474856377232</v>
      </c>
      <c r="BE75" s="136">
        <v>2066.9497977695701</v>
      </c>
      <c r="BF75" s="18">
        <v>38.558151645698892</v>
      </c>
    </row>
    <row r="76" spans="1:71" ht="14.5" x14ac:dyDescent="0.35">
      <c r="A76" s="7">
        <v>75</v>
      </c>
      <c r="B76" s="23" t="s">
        <v>79</v>
      </c>
      <c r="C76" s="132">
        <v>3.6079826616388799</v>
      </c>
      <c r="D76" s="132">
        <v>2.90211514861477</v>
      </c>
      <c r="E76" s="132">
        <v>1.8076003640413101</v>
      </c>
      <c r="F76" s="133">
        <v>3.99662993318822</v>
      </c>
      <c r="G76" s="23">
        <v>2.4397906769875899</v>
      </c>
      <c r="H76" s="132">
        <v>0.438049873050679</v>
      </c>
      <c r="I76" s="134">
        <v>3.6079826616388799</v>
      </c>
      <c r="J76" s="135">
        <v>114535772</v>
      </c>
      <c r="K76" s="134">
        <v>2023</v>
      </c>
      <c r="L76" s="136">
        <v>396002496996.96002</v>
      </c>
      <c r="M76" s="132">
        <v>2023</v>
      </c>
      <c r="N76" s="136">
        <v>3457.4569157045498</v>
      </c>
      <c r="O76" s="133">
        <v>2023</v>
      </c>
      <c r="P76" s="136">
        <v>439283081783.31201</v>
      </c>
      <c r="Q76" s="132">
        <v>2023</v>
      </c>
      <c r="R76" s="132">
        <v>3840</v>
      </c>
      <c r="S76" s="134">
        <v>2023</v>
      </c>
      <c r="T76" s="17">
        <v>31.9</v>
      </c>
      <c r="U76" s="133">
        <v>2019</v>
      </c>
      <c r="V76" s="23">
        <v>33.884776311554603</v>
      </c>
      <c r="W76" s="134">
        <v>2023</v>
      </c>
      <c r="X76" s="137">
        <v>0.76900000000000002</v>
      </c>
      <c r="Y76" s="133">
        <v>2023</v>
      </c>
      <c r="Z76" s="135">
        <f t="shared" ref="Z76:AB76" si="90">(AJ76*40)* 48</f>
        <v>5365311527.177783</v>
      </c>
      <c r="AA76" s="135">
        <f t="shared" si="90"/>
        <v>963309703.37974095</v>
      </c>
      <c r="AB76" s="138">
        <f t="shared" si="90"/>
        <v>6328621230.5575237</v>
      </c>
      <c r="AC76" s="18">
        <f t="shared" si="1"/>
        <v>8.410557562573036</v>
      </c>
      <c r="AD76" s="120">
        <f t="shared" si="2"/>
        <v>4125924564.3997154</v>
      </c>
      <c r="AE76" s="121">
        <f t="shared" si="3"/>
        <v>740785161.89902079</v>
      </c>
      <c r="AF76" s="122">
        <f t="shared" si="4"/>
        <v>4866709726.2987366</v>
      </c>
      <c r="AG76" s="123">
        <f t="shared" si="5"/>
        <v>1.0418935728153726E-2</v>
      </c>
      <c r="AH76" s="124">
        <f t="shared" si="6"/>
        <v>1.8706578052327472E-3</v>
      </c>
      <c r="AI76" s="125">
        <f t="shared" si="7"/>
        <v>1.2289593533386472E-2</v>
      </c>
      <c r="AJ76" s="139">
        <v>2794433.087071762</v>
      </c>
      <c r="AK76" s="140">
        <v>501723.80384361511</v>
      </c>
      <c r="AL76" s="140">
        <f t="shared" si="8"/>
        <v>3296156.8909153771</v>
      </c>
      <c r="AM76" s="131">
        <f t="shared" ref="AM76:AM79" si="91">AE76/(AD76+AE76)</f>
        <v>0.15221478238078681</v>
      </c>
      <c r="AN76" s="129">
        <f t="shared" si="9"/>
        <v>0.84778521761921311</v>
      </c>
      <c r="AO76" s="130">
        <f t="shared" si="10"/>
        <v>0.15221478238078684</v>
      </c>
      <c r="AP76" s="19" t="s">
        <v>77</v>
      </c>
      <c r="AQ76" s="20" t="s">
        <v>80</v>
      </c>
      <c r="AR76" s="20" t="s">
        <v>81</v>
      </c>
      <c r="AS76" s="20" t="s">
        <v>82</v>
      </c>
      <c r="AT76" s="21" t="s">
        <v>59</v>
      </c>
      <c r="AU76" s="22" t="s">
        <v>60</v>
      </c>
      <c r="AY76" s="136">
        <v>2429.7485345283799</v>
      </c>
      <c r="AZ76" s="125">
        <v>2.2535516057036395E-2</v>
      </c>
      <c r="BB76" s="136">
        <v>2429.7485345283799</v>
      </c>
      <c r="BC76" s="131">
        <v>0.37842685146397076</v>
      </c>
      <c r="BE76" s="136">
        <v>2429.7485345283799</v>
      </c>
      <c r="BF76" s="18">
        <v>16.590074742286312</v>
      </c>
    </row>
    <row r="77" spans="1:71" ht="14.5" x14ac:dyDescent="0.35">
      <c r="A77" s="7">
        <v>76</v>
      </c>
      <c r="B77" s="23" t="s">
        <v>347</v>
      </c>
      <c r="C77" s="132">
        <v>12.419019107982299</v>
      </c>
      <c r="D77" s="132">
        <v>12.3364818921891</v>
      </c>
      <c r="E77" s="132">
        <v>11.458085135873199</v>
      </c>
      <c r="F77" s="133">
        <v>13.2148786485049</v>
      </c>
      <c r="G77" s="23">
        <v>9.6338735100518793</v>
      </c>
      <c r="H77" s="132">
        <v>2.77566459950561</v>
      </c>
      <c r="I77" s="134">
        <v>12.419019107982299</v>
      </c>
      <c r="J77" s="135">
        <v>9756600</v>
      </c>
      <c r="K77" s="134">
        <v>2023</v>
      </c>
      <c r="L77" s="136">
        <v>513611100815.69098</v>
      </c>
      <c r="M77" s="132">
        <v>2023</v>
      </c>
      <c r="N77" s="136">
        <v>52642.426748630802</v>
      </c>
      <c r="O77" s="133">
        <v>2023</v>
      </c>
      <c r="P77" s="136">
        <v>533222881689.30402</v>
      </c>
      <c r="Q77" s="132">
        <v>2023</v>
      </c>
      <c r="R77" s="132">
        <v>54650</v>
      </c>
      <c r="S77" s="134">
        <v>2023</v>
      </c>
      <c r="T77" s="17">
        <v>37.9</v>
      </c>
      <c r="U77" s="133">
        <v>2021</v>
      </c>
      <c r="V77" s="23">
        <v>4.2253521126760898</v>
      </c>
      <c r="W77" s="134">
        <v>2023</v>
      </c>
      <c r="X77" s="143">
        <v>17.2</v>
      </c>
      <c r="Y77" s="144">
        <v>2018</v>
      </c>
      <c r="Z77" s="135">
        <f t="shared" ref="Z77:AB77" si="92">(AJ77*40)* 48</f>
        <v>1804681925.5329058</v>
      </c>
      <c r="AA77" s="135">
        <f t="shared" si="92"/>
        <v>519956145.24549973</v>
      </c>
      <c r="AB77" s="138">
        <f t="shared" si="92"/>
        <v>2324638070.7784052</v>
      </c>
      <c r="AC77" s="18">
        <f t="shared" si="1"/>
        <v>53.292760310507731</v>
      </c>
      <c r="AD77" s="120">
        <f t="shared" si="2"/>
        <v>31040529119.165977</v>
      </c>
      <c r="AE77" s="121">
        <f t="shared" si="3"/>
        <v>8943245698.2225952</v>
      </c>
      <c r="AF77" s="122">
        <f t="shared" si="4"/>
        <v>39983774817.388573</v>
      </c>
      <c r="AG77" s="123">
        <f t="shared" si="5"/>
        <v>6.0435861043246518E-2</v>
      </c>
      <c r="AH77" s="124">
        <f t="shared" si="6"/>
        <v>1.74124852130715E-2</v>
      </c>
      <c r="AI77" s="125">
        <f t="shared" si="7"/>
        <v>7.7848346256318021E-2</v>
      </c>
      <c r="AJ77" s="139">
        <v>939938.50288172171</v>
      </c>
      <c r="AK77" s="140">
        <v>270810.49231536442</v>
      </c>
      <c r="AL77" s="140">
        <f t="shared" si="8"/>
        <v>1210748.9951970861</v>
      </c>
      <c r="AM77" s="131">
        <f t="shared" si="91"/>
        <v>0.2236718703791134</v>
      </c>
      <c r="AN77" s="129">
        <f t="shared" si="9"/>
        <v>0.7763281296208866</v>
      </c>
      <c r="AO77" s="130">
        <f t="shared" si="10"/>
        <v>0.22367187037911337</v>
      </c>
      <c r="AP77" s="19" t="s">
        <v>77</v>
      </c>
      <c r="AQ77" s="20"/>
      <c r="AR77" s="20" t="s">
        <v>348</v>
      </c>
      <c r="AS77" s="20" t="s">
        <v>349</v>
      </c>
      <c r="AT77" s="21" t="s">
        <v>247</v>
      </c>
      <c r="AU77" s="22" t="s">
        <v>248</v>
      </c>
      <c r="AV77" s="15"/>
      <c r="AW77" s="15"/>
      <c r="AX77" s="15"/>
      <c r="AY77" s="136">
        <v>6022.5425418935001</v>
      </c>
      <c r="AZ77" s="125">
        <v>3.5347964902475409E-2</v>
      </c>
      <c r="BA77" s="15"/>
      <c r="BB77" s="136">
        <v>6022.5425418935001</v>
      </c>
      <c r="BC77" s="131">
        <v>0.4373962877059242</v>
      </c>
      <c r="BD77" s="15"/>
      <c r="BE77" s="136">
        <v>6022.5425418935001</v>
      </c>
      <c r="BF77" s="18">
        <v>31.910535827635012</v>
      </c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</row>
    <row r="78" spans="1:71" ht="14.5" x14ac:dyDescent="0.35">
      <c r="A78" s="7">
        <v>77</v>
      </c>
      <c r="B78" s="23" t="s">
        <v>175</v>
      </c>
      <c r="C78" s="132"/>
      <c r="D78" s="132">
        <v>5.90675675099261</v>
      </c>
      <c r="E78" s="132">
        <v>5.0079227193818099</v>
      </c>
      <c r="F78" s="133">
        <v>6.8055907826034101</v>
      </c>
      <c r="G78" s="23">
        <v>3.9293601804695002</v>
      </c>
      <c r="H78" s="132">
        <v>2.1936628429353999</v>
      </c>
      <c r="I78" s="134">
        <v>5.90675675099261</v>
      </c>
      <c r="J78" s="135">
        <v>11439213</v>
      </c>
      <c r="K78" s="134">
        <v>2023</v>
      </c>
      <c r="L78" s="136">
        <v>50967475352.112701</v>
      </c>
      <c r="M78" s="132">
        <v>2023</v>
      </c>
      <c r="N78" s="136">
        <v>4455.50540514568</v>
      </c>
      <c r="O78" s="133">
        <v>2023</v>
      </c>
      <c r="P78" s="136">
        <v>50617750160.504097</v>
      </c>
      <c r="Q78" s="132">
        <v>2023</v>
      </c>
      <c r="R78" s="132">
        <v>4420</v>
      </c>
      <c r="S78" s="134">
        <v>2023</v>
      </c>
      <c r="T78" s="17">
        <v>33.700000000000003</v>
      </c>
      <c r="U78" s="133">
        <v>2010</v>
      </c>
      <c r="V78" s="23">
        <v>2.0848698632713401</v>
      </c>
      <c r="W78" s="134">
        <v>2023</v>
      </c>
      <c r="X78" s="137">
        <v>2.54</v>
      </c>
      <c r="Y78" s="133">
        <v>2023</v>
      </c>
      <c r="Z78" s="135">
        <f t="shared" ref="Z78:AB78" si="93">(AJ78*40)* 48</f>
        <v>863016730.71569371</v>
      </c>
      <c r="AA78" s="135">
        <f t="shared" si="93"/>
        <v>481800509.0020529</v>
      </c>
      <c r="AB78" s="138">
        <f t="shared" si="93"/>
        <v>1344817239.7177467</v>
      </c>
      <c r="AC78" s="18">
        <f t="shared" si="1"/>
        <v>42.118326584359686</v>
      </c>
      <c r="AD78" s="120">
        <f t="shared" si="2"/>
        <v>2192062496.0178618</v>
      </c>
      <c r="AE78" s="121">
        <f t="shared" si="3"/>
        <v>1223773292.8652143</v>
      </c>
      <c r="AF78" s="122">
        <f t="shared" si="4"/>
        <v>3415835788.8830762</v>
      </c>
      <c r="AG78" s="123">
        <f t="shared" si="5"/>
        <v>4.3009046080344976E-2</v>
      </c>
      <c r="AH78" s="124">
        <f t="shared" si="6"/>
        <v>2.4010867409277839E-2</v>
      </c>
      <c r="AI78" s="125">
        <f t="shared" si="7"/>
        <v>6.7019913489622815E-2</v>
      </c>
      <c r="AJ78" s="139">
        <v>449487.88058109052</v>
      </c>
      <c r="AK78" s="140">
        <v>250937.76510523591</v>
      </c>
      <c r="AL78" s="140">
        <f t="shared" si="8"/>
        <v>700425.64568632643</v>
      </c>
      <c r="AM78" s="131">
        <f t="shared" si="91"/>
        <v>0.3582646732749904</v>
      </c>
      <c r="AN78" s="129">
        <f t="shared" si="9"/>
        <v>0.64173532672500966</v>
      </c>
      <c r="AO78" s="130">
        <f t="shared" si="10"/>
        <v>0.3582646732749904</v>
      </c>
      <c r="AP78" s="19" t="s">
        <v>77</v>
      </c>
      <c r="AQ78" s="20" t="s">
        <v>176</v>
      </c>
      <c r="AR78" s="20" t="s">
        <v>177</v>
      </c>
      <c r="AS78" s="20" t="s">
        <v>178</v>
      </c>
      <c r="AT78" s="21" t="s">
        <v>152</v>
      </c>
      <c r="AU78" s="22" t="s">
        <v>60</v>
      </c>
      <c r="AV78" s="15"/>
      <c r="AW78" s="15"/>
      <c r="AX78" s="15"/>
      <c r="AY78" s="136">
        <v>415.70741705908603</v>
      </c>
      <c r="AZ78" s="125">
        <v>0.14016119990250905</v>
      </c>
      <c r="BA78" s="15"/>
      <c r="BB78" s="136">
        <v>415.70741705908603</v>
      </c>
      <c r="BC78" s="131">
        <v>0.39241662471292516</v>
      </c>
      <c r="BD78" s="15"/>
      <c r="BE78" s="136">
        <v>415.70741705908603</v>
      </c>
      <c r="BF78" s="18">
        <v>19.343965166494854</v>
      </c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</row>
    <row r="79" spans="1:71" ht="14.5" x14ac:dyDescent="0.35">
      <c r="A79" s="7">
        <v>78</v>
      </c>
      <c r="B79" s="23" t="s">
        <v>76</v>
      </c>
      <c r="C79" s="132"/>
      <c r="D79" s="132">
        <v>6.0698041266628797</v>
      </c>
      <c r="E79" s="132">
        <v>5.0965711364787101</v>
      </c>
      <c r="F79" s="133">
        <v>7.0430371168470502</v>
      </c>
      <c r="G79" s="23">
        <v>3.9625438446321501</v>
      </c>
      <c r="H79" s="132">
        <v>2.0350072314669601</v>
      </c>
      <c r="I79" s="134">
        <v>6.0698041266628797</v>
      </c>
      <c r="J79" s="135">
        <v>5773493</v>
      </c>
      <c r="K79" s="134">
        <v>2023</v>
      </c>
      <c r="L79" s="136">
        <v>20992421948.808102</v>
      </c>
      <c r="M79" s="132">
        <v>2022</v>
      </c>
      <c r="N79" s="136">
        <v>3654.3584553487799</v>
      </c>
      <c r="O79" s="133">
        <v>2022</v>
      </c>
      <c r="P79" s="136">
        <v>23928868523.412998</v>
      </c>
      <c r="Q79" s="132">
        <v>2022</v>
      </c>
      <c r="R79" s="132">
        <v>4170</v>
      </c>
      <c r="S79" s="134">
        <v>2022</v>
      </c>
      <c r="T79" s="17">
        <v>31.8</v>
      </c>
      <c r="U79" s="133">
        <v>2011</v>
      </c>
      <c r="V79" s="23">
        <v>221.34164402336501</v>
      </c>
      <c r="W79" s="134">
        <v>2023</v>
      </c>
      <c r="X79" s="137">
        <v>4.4450000000000003</v>
      </c>
      <c r="Y79" s="133">
        <v>2019</v>
      </c>
      <c r="Z79" s="135">
        <f t="shared" ref="Z79:AB79" si="94">(AJ79*40)* 48</f>
        <v>439252207.66419482</v>
      </c>
      <c r="AA79" s="135">
        <f t="shared" si="94"/>
        <v>225582720.11181831</v>
      </c>
      <c r="AB79" s="138">
        <f t="shared" si="94"/>
        <v>664834927.77601314</v>
      </c>
      <c r="AC79" s="18">
        <f t="shared" si="1"/>
        <v>39.072138844165622</v>
      </c>
      <c r="AD79" s="120">
        <f t="shared" si="2"/>
        <v>1952476063.0673461</v>
      </c>
      <c r="AE79" s="121">
        <f t="shared" si="3"/>
        <v>1002715190.8970325</v>
      </c>
      <c r="AF79" s="122">
        <f t="shared" si="4"/>
        <v>2955191253.9643784</v>
      </c>
      <c r="AG79" s="123">
        <f t="shared" si="5"/>
        <v>9.3008613671573176E-2</v>
      </c>
      <c r="AH79" s="124">
        <f t="shared" si="6"/>
        <v>4.7765579090504336E-2</v>
      </c>
      <c r="AI79" s="125">
        <f t="shared" si="7"/>
        <v>0.1407741927620775</v>
      </c>
      <c r="AJ79" s="139">
        <v>228777.19149176811</v>
      </c>
      <c r="AK79" s="140">
        <v>117491.0000582387</v>
      </c>
      <c r="AL79" s="140">
        <f t="shared" si="8"/>
        <v>346268.1915500068</v>
      </c>
      <c r="AM79" s="131">
        <f t="shared" si="91"/>
        <v>0.33930636115408563</v>
      </c>
      <c r="AN79" s="129">
        <f t="shared" si="9"/>
        <v>0.66069363884591448</v>
      </c>
      <c r="AO79" s="130">
        <f t="shared" si="10"/>
        <v>0.33930636115408558</v>
      </c>
      <c r="AP79" s="19" t="s">
        <v>77</v>
      </c>
      <c r="AQ79" s="20" t="s">
        <v>78</v>
      </c>
      <c r="AR79" s="20">
        <v>35.513399999999997</v>
      </c>
      <c r="AS79" s="20">
        <v>33.8872</v>
      </c>
      <c r="AT79" s="21" t="s">
        <v>59</v>
      </c>
      <c r="AU79" s="22" t="s">
        <v>60</v>
      </c>
      <c r="AV79" s="15"/>
      <c r="AW79" s="15"/>
      <c r="AX79" s="15"/>
      <c r="AY79" s="136">
        <v>5069.703125</v>
      </c>
      <c r="AZ79" s="125">
        <v>1.4307480690734467E-2</v>
      </c>
      <c r="BA79" s="15"/>
      <c r="BB79" s="136">
        <v>5069.703125</v>
      </c>
      <c r="BC79" s="131">
        <v>0.29369564496831563</v>
      </c>
      <c r="BD79" s="15"/>
      <c r="BE79" s="136">
        <v>5069.703125</v>
      </c>
      <c r="BF79" s="18">
        <v>16.184497748670186</v>
      </c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</row>
    <row r="80" spans="1:71" ht="14.5" x14ac:dyDescent="0.35">
      <c r="A80" s="7">
        <v>79</v>
      </c>
      <c r="B80" s="16" t="s">
        <v>343</v>
      </c>
      <c r="C80" s="132"/>
      <c r="D80" s="132">
        <v>7.6276568677221501</v>
      </c>
      <c r="E80" s="132">
        <v>6.3536678883295403</v>
      </c>
      <c r="F80" s="133">
        <v>8.9016458471147697</v>
      </c>
      <c r="G80" s="23">
        <v>4.9184178314444296</v>
      </c>
      <c r="H80" s="132">
        <v>3.7110733918438199</v>
      </c>
      <c r="I80" s="134">
        <v>7.6276568677221501</v>
      </c>
      <c r="J80" s="135">
        <v>2656032</v>
      </c>
      <c r="K80" s="134">
        <v>2023</v>
      </c>
      <c r="L80" s="136">
        <v>213002809330.267</v>
      </c>
      <c r="M80" s="132">
        <v>2023</v>
      </c>
      <c r="N80" s="136">
        <v>80195.874646942</v>
      </c>
      <c r="O80" s="133">
        <v>2023</v>
      </c>
      <c r="P80" s="136">
        <v>210974110897.40201</v>
      </c>
      <c r="Q80" s="132">
        <v>2023</v>
      </c>
      <c r="R80" s="132">
        <v>79430</v>
      </c>
      <c r="S80" s="134">
        <v>2023</v>
      </c>
      <c r="T80" s="17">
        <v>35.1</v>
      </c>
      <c r="U80" s="133">
        <v>2017</v>
      </c>
      <c r="V80" s="23">
        <v>3.0276489919890199</v>
      </c>
      <c r="W80" s="134">
        <v>2023</v>
      </c>
      <c r="X80" s="141">
        <v>20.540862499999999</v>
      </c>
      <c r="Y80" s="142">
        <v>2022</v>
      </c>
      <c r="Z80" s="135">
        <f t="shared" ref="Z80:AB80" si="95">(AJ80*40)* 48</f>
        <v>250818722.8739906</v>
      </c>
      <c r="AA80" s="135">
        <f t="shared" si="95"/>
        <v>189249209.91524589</v>
      </c>
      <c r="AB80" s="138">
        <f t="shared" si="95"/>
        <v>440067932.78923649</v>
      </c>
      <c r="AC80" s="18">
        <f t="shared" si="1"/>
        <v>71.252609123401328</v>
      </c>
      <c r="AD80" s="120">
        <f t="shared" si="2"/>
        <v>5152032898.9802456</v>
      </c>
      <c r="AE80" s="121">
        <f t="shared" si="3"/>
        <v>3887341999.1027021</v>
      </c>
      <c r="AF80" s="122">
        <f t="shared" si="4"/>
        <v>9039374898.0829468</v>
      </c>
      <c r="AG80" s="123">
        <f t="shared" si="5"/>
        <v>2.4187628863579305E-2</v>
      </c>
      <c r="AH80" s="124">
        <f t="shared" si="6"/>
        <v>1.8250191212620424E-2</v>
      </c>
      <c r="AI80" s="125">
        <f t="shared" si="7"/>
        <v>4.2437820076199728E-2</v>
      </c>
      <c r="AJ80" s="139">
        <v>130634.7514968701</v>
      </c>
      <c r="AK80" s="140">
        <v>98567.296830857245</v>
      </c>
      <c r="AL80" s="140">
        <f t="shared" si="8"/>
        <v>229202.04832772736</v>
      </c>
      <c r="AM80" s="128">
        <f>AJ80/AL80</f>
        <v>0.5699545551620917</v>
      </c>
      <c r="AN80" s="129">
        <f t="shared" si="9"/>
        <v>0.5699545551620917</v>
      </c>
      <c r="AO80" s="130">
        <f t="shared" si="10"/>
        <v>0.43004544483790819</v>
      </c>
      <c r="AP80" s="32" t="s">
        <v>77</v>
      </c>
      <c r="AQ80" s="20" t="s">
        <v>344</v>
      </c>
      <c r="AR80" s="20">
        <v>51.508200000000002</v>
      </c>
      <c r="AS80" s="22">
        <v>25.294799999999999</v>
      </c>
      <c r="AT80" s="45" t="s">
        <v>247</v>
      </c>
      <c r="AU80" s="15" t="s">
        <v>248</v>
      </c>
      <c r="AV80" s="15"/>
      <c r="AW80" s="15"/>
      <c r="AX80" s="15"/>
      <c r="AY80" s="136">
        <v>103887.800388081</v>
      </c>
      <c r="AZ80" s="125">
        <v>4.4599882031385499E-2</v>
      </c>
      <c r="BA80" s="15"/>
      <c r="BB80" s="136">
        <v>103887.800388081</v>
      </c>
      <c r="BC80" s="131">
        <v>0.2670154140295275</v>
      </c>
      <c r="BD80" s="15"/>
      <c r="BE80" s="136">
        <v>103887.800388081</v>
      </c>
      <c r="BF80" s="18">
        <v>61.246774825502229</v>
      </c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</row>
    <row r="81" spans="1:71" ht="14.5" x14ac:dyDescent="0.35">
      <c r="A81" s="7">
        <v>80</v>
      </c>
      <c r="B81" s="23" t="s">
        <v>93</v>
      </c>
      <c r="C81" s="132"/>
      <c r="D81" s="132">
        <v>2.8710748069467802</v>
      </c>
      <c r="E81" s="132">
        <v>2.0541924345531002</v>
      </c>
      <c r="F81" s="133">
        <v>3.68795717934045</v>
      </c>
      <c r="G81" s="23">
        <v>2.1638542759744102</v>
      </c>
      <c r="H81" s="132">
        <v>0.64325185787378403</v>
      </c>
      <c r="I81" s="134">
        <v>2.8710748069467802</v>
      </c>
      <c r="J81" s="135">
        <v>12200431</v>
      </c>
      <c r="K81" s="134">
        <v>2023</v>
      </c>
      <c r="L81" s="136">
        <v>48529595416.653297</v>
      </c>
      <c r="M81" s="132">
        <v>2023</v>
      </c>
      <c r="N81" s="136">
        <v>3977.6951663964401</v>
      </c>
      <c r="O81" s="133">
        <v>2023</v>
      </c>
      <c r="P81" s="136">
        <v>46797066430.050797</v>
      </c>
      <c r="Q81" s="132">
        <v>2023</v>
      </c>
      <c r="R81" s="132">
        <v>3840</v>
      </c>
      <c r="S81" s="134">
        <v>2023</v>
      </c>
      <c r="T81" s="17">
        <v>33.700000000000003</v>
      </c>
      <c r="U81" s="133">
        <v>2021</v>
      </c>
      <c r="V81" s="23">
        <v>9.3289959750786497</v>
      </c>
      <c r="W81" s="134">
        <v>2023</v>
      </c>
      <c r="X81" s="137">
        <v>1.704</v>
      </c>
      <c r="Y81" s="133">
        <v>2019</v>
      </c>
      <c r="Z81" s="135">
        <f t="shared" ref="Z81:AB81" si="96">(AJ81*40)* 48</f>
        <v>506879131.93115032</v>
      </c>
      <c r="AA81" s="135">
        <f t="shared" si="96"/>
        <v>150680638.22612944</v>
      </c>
      <c r="AB81" s="138">
        <f t="shared" si="96"/>
        <v>657559770.15727985</v>
      </c>
      <c r="AC81" s="18">
        <f t="shared" si="1"/>
        <v>12.350435671176653</v>
      </c>
      <c r="AD81" s="120">
        <f t="shared" si="2"/>
        <v>863722040.81068015</v>
      </c>
      <c r="AE81" s="121">
        <f t="shared" si="3"/>
        <v>256759807.53732458</v>
      </c>
      <c r="AF81" s="122">
        <f t="shared" si="4"/>
        <v>1120481848.3480048</v>
      </c>
      <c r="AG81" s="123">
        <f t="shared" si="5"/>
        <v>1.7797841366596009E-2</v>
      </c>
      <c r="AH81" s="124">
        <f t="shared" si="6"/>
        <v>5.2907881331566908E-3</v>
      </c>
      <c r="AI81" s="125">
        <f t="shared" si="7"/>
        <v>2.30886294997527E-2</v>
      </c>
      <c r="AJ81" s="139">
        <v>263999.54788080748</v>
      </c>
      <c r="AK81" s="140">
        <v>78479.499076109088</v>
      </c>
      <c r="AL81" s="140">
        <f t="shared" si="8"/>
        <v>342479.04695691657</v>
      </c>
      <c r="AM81" s="131">
        <f t="shared" ref="AM81:AM91" si="97">AE81/(AD81+AE81)</f>
        <v>0.22915124231229744</v>
      </c>
      <c r="AN81" s="129">
        <f t="shared" si="9"/>
        <v>0.77084875768770256</v>
      </c>
      <c r="AO81" s="130">
        <f t="shared" si="10"/>
        <v>0.22915124231229747</v>
      </c>
      <c r="AP81" s="32" t="s">
        <v>77</v>
      </c>
      <c r="AQ81" s="20" t="s">
        <v>94</v>
      </c>
      <c r="AR81" s="20">
        <v>10.210000000000001</v>
      </c>
      <c r="AS81" s="20">
        <v>36.789900000000003</v>
      </c>
      <c r="AT81" s="33" t="s">
        <v>59</v>
      </c>
      <c r="AU81" s="15" t="s">
        <v>60</v>
      </c>
      <c r="AV81" s="15"/>
      <c r="AW81" s="15"/>
      <c r="AX81" s="15"/>
      <c r="AY81" s="145"/>
      <c r="AZ81" s="125"/>
      <c r="BA81" s="15"/>
      <c r="BB81" s="136"/>
      <c r="BC81" s="131"/>
      <c r="BD81" s="15"/>
      <c r="BE81" s="136"/>
      <c r="BF81" s="18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</row>
    <row r="82" spans="1:71" ht="14.5" x14ac:dyDescent="0.35">
      <c r="A82" s="7">
        <v>81</v>
      </c>
      <c r="B82" s="23" t="s">
        <v>297</v>
      </c>
      <c r="C82" s="132">
        <v>13.2248110357285</v>
      </c>
      <c r="D82" s="132">
        <v>12.236851672427999</v>
      </c>
      <c r="E82" s="132">
        <v>10.5753062704733</v>
      </c>
      <c r="F82" s="133">
        <v>13.8983970743827</v>
      </c>
      <c r="G82" s="23">
        <v>8.3019964100312098</v>
      </c>
      <c r="H82" s="132">
        <v>3.93434971780658</v>
      </c>
      <c r="I82" s="134">
        <v>13.2248110357285</v>
      </c>
      <c r="J82" s="135">
        <v>40097761</v>
      </c>
      <c r="K82" s="134">
        <v>2023</v>
      </c>
      <c r="L82" s="136">
        <v>2142470914401.3601</v>
      </c>
      <c r="M82" s="132">
        <v>2023</v>
      </c>
      <c r="N82" s="136">
        <v>53431.1857063879</v>
      </c>
      <c r="O82" s="133">
        <v>2023</v>
      </c>
      <c r="P82" s="136">
        <v>2167054214710.05</v>
      </c>
      <c r="Q82" s="132">
        <v>2023</v>
      </c>
      <c r="R82" s="132">
        <v>54040</v>
      </c>
      <c r="S82" s="134">
        <v>2023</v>
      </c>
      <c r="T82" s="17">
        <v>31.7</v>
      </c>
      <c r="U82" s="133">
        <v>2019</v>
      </c>
      <c r="V82" s="23">
        <v>3.87900159788426</v>
      </c>
      <c r="W82" s="134">
        <v>2023</v>
      </c>
      <c r="X82" s="137">
        <v>26.745000000000001</v>
      </c>
      <c r="Y82" s="133">
        <v>2023</v>
      </c>
      <c r="Z82" s="135">
        <f t="shared" ref="Z82:AB82" si="98">(AJ82*40)* 48</f>
        <v>6391516183.1479559</v>
      </c>
      <c r="AA82" s="135">
        <f t="shared" si="98"/>
        <v>3028965401.7604933</v>
      </c>
      <c r="AB82" s="138">
        <f t="shared" si="98"/>
        <v>9420481584.9084492</v>
      </c>
      <c r="AC82" s="18">
        <f t="shared" si="1"/>
        <v>75.539514581886337</v>
      </c>
      <c r="AD82" s="120">
        <f t="shared" si="2"/>
        <v>170941100318.29208</v>
      </c>
      <c r="AE82" s="121">
        <f t="shared" si="3"/>
        <v>81009679670.084396</v>
      </c>
      <c r="AF82" s="122">
        <f t="shared" si="4"/>
        <v>251950779988.37646</v>
      </c>
      <c r="AG82" s="123">
        <f t="shared" si="5"/>
        <v>7.9786894267386443E-2</v>
      </c>
      <c r="AH82" s="124">
        <f t="shared" si="6"/>
        <v>3.7811332291864397E-2</v>
      </c>
      <c r="AI82" s="125">
        <f t="shared" si="7"/>
        <v>0.11759822655925084</v>
      </c>
      <c r="AJ82" s="139">
        <v>3328914.6787228938</v>
      </c>
      <c r="AK82" s="140">
        <v>1577586.1467502569</v>
      </c>
      <c r="AL82" s="140">
        <f t="shared" si="8"/>
        <v>4906500.8254731502</v>
      </c>
      <c r="AM82" s="131">
        <f t="shared" si="97"/>
        <v>0.3215297832132995</v>
      </c>
      <c r="AN82" s="129">
        <f t="shared" si="9"/>
        <v>0.67847021678670061</v>
      </c>
      <c r="AO82" s="130">
        <f t="shared" si="10"/>
        <v>0.32152978321329945</v>
      </c>
      <c r="AP82" s="19" t="s">
        <v>298</v>
      </c>
      <c r="AQ82" s="20" t="s">
        <v>299</v>
      </c>
      <c r="AR82" s="20" t="s">
        <v>300</v>
      </c>
      <c r="AS82" s="20" t="s">
        <v>301</v>
      </c>
      <c r="AT82" s="21" t="s">
        <v>247</v>
      </c>
      <c r="AU82" s="22" t="s">
        <v>248</v>
      </c>
      <c r="AV82" s="15"/>
      <c r="AW82" s="15"/>
      <c r="AX82" s="15"/>
      <c r="AY82" s="136">
        <v>33509.012798213902</v>
      </c>
      <c r="AZ82" s="125">
        <v>0.10268937669118633</v>
      </c>
      <c r="BA82" s="15"/>
      <c r="BB82" s="136">
        <v>33509.012798213902</v>
      </c>
      <c r="BC82" s="131">
        <v>0.25141333087716172</v>
      </c>
      <c r="BD82" s="15"/>
      <c r="BE82" s="136">
        <v>33509.012798213902</v>
      </c>
      <c r="BF82" s="18">
        <v>43.040706902954867</v>
      </c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</row>
    <row r="83" spans="1:71" ht="14.5" x14ac:dyDescent="0.35">
      <c r="A83" s="7">
        <v>82</v>
      </c>
      <c r="B83" s="23" t="s">
        <v>352</v>
      </c>
      <c r="C83" s="132">
        <v>9.7570287726294094</v>
      </c>
      <c r="D83" s="132">
        <v>10.5949765609541</v>
      </c>
      <c r="E83" s="132">
        <v>9.5230992697167505</v>
      </c>
      <c r="F83" s="133">
        <v>11.6668538521914</v>
      </c>
      <c r="G83" s="23">
        <v>6.9213409776343999</v>
      </c>
      <c r="H83" s="132">
        <v>3.4189404256742502</v>
      </c>
      <c r="I83" s="134">
        <v>9.7570287726294094</v>
      </c>
      <c r="J83" s="135">
        <v>334914895</v>
      </c>
      <c r="K83" s="134">
        <v>2023</v>
      </c>
      <c r="L83" s="136">
        <v>27720709000000</v>
      </c>
      <c r="M83" s="132">
        <v>2023</v>
      </c>
      <c r="N83" s="136">
        <v>82769.412211421601</v>
      </c>
      <c r="O83" s="133">
        <v>2023</v>
      </c>
      <c r="P83" s="136">
        <v>26944999039556.199</v>
      </c>
      <c r="Q83" s="132">
        <v>2023</v>
      </c>
      <c r="R83" s="132">
        <v>80450</v>
      </c>
      <c r="S83" s="134">
        <v>2023</v>
      </c>
      <c r="T83" s="17">
        <v>41.3</v>
      </c>
      <c r="U83" s="133">
        <v>2022</v>
      </c>
      <c r="V83" s="23">
        <v>4.1163383837448801</v>
      </c>
      <c r="W83" s="134">
        <v>2023</v>
      </c>
      <c r="X83" s="137">
        <v>41.475000000000001</v>
      </c>
      <c r="Y83" s="133">
        <v>2024</v>
      </c>
      <c r="Z83" s="135">
        <f t="shared" ref="Z83:AB83" si="99">(AJ83*40)* 48</f>
        <v>44506755586.245544</v>
      </c>
      <c r="AA83" s="135">
        <f t="shared" si="99"/>
        <v>21985038214.578182</v>
      </c>
      <c r="AB83" s="138">
        <f t="shared" si="99"/>
        <v>66491793800.82373</v>
      </c>
      <c r="AC83" s="18">
        <f t="shared" si="1"/>
        <v>65.643656172945612</v>
      </c>
      <c r="AD83" s="120">
        <f t="shared" si="2"/>
        <v>1845917687939.5339</v>
      </c>
      <c r="AE83" s="121">
        <f t="shared" si="3"/>
        <v>911829459949.63013</v>
      </c>
      <c r="AF83" s="122">
        <f t="shared" si="4"/>
        <v>2757747147889.1641</v>
      </c>
      <c r="AG83" s="123">
        <f t="shared" si="5"/>
        <v>6.6589844002169427E-2</v>
      </c>
      <c r="AH83" s="124">
        <f t="shared" si="6"/>
        <v>3.2893439339867901E-2</v>
      </c>
      <c r="AI83" s="125">
        <f t="shared" si="7"/>
        <v>9.9483283342037321E-2</v>
      </c>
      <c r="AJ83" s="139">
        <v>23180601.867836218</v>
      </c>
      <c r="AK83" s="140">
        <v>11450540.736759471</v>
      </c>
      <c r="AL83" s="140">
        <f t="shared" si="8"/>
        <v>34631142.604595691</v>
      </c>
      <c r="AM83" s="131">
        <f t="shared" si="97"/>
        <v>0.33064288023924276</v>
      </c>
      <c r="AN83" s="129">
        <f t="shared" si="9"/>
        <v>0.66935711976075718</v>
      </c>
      <c r="AO83" s="130">
        <f t="shared" si="10"/>
        <v>0.33064288023924276</v>
      </c>
      <c r="AP83" s="19" t="s">
        <v>298</v>
      </c>
      <c r="AQ83" s="20" t="s">
        <v>353</v>
      </c>
      <c r="AR83" s="20">
        <v>-77.031999999999996</v>
      </c>
      <c r="AS83" s="20">
        <v>38.889499999999998</v>
      </c>
      <c r="AT83" s="21" t="s">
        <v>247</v>
      </c>
      <c r="AU83" s="22" t="s">
        <v>248</v>
      </c>
      <c r="AV83" s="15"/>
      <c r="AW83" s="15"/>
      <c r="AX83" s="15"/>
      <c r="AY83" s="136">
        <v>82769.412211421601</v>
      </c>
      <c r="AZ83" s="125">
        <v>9.9483283342037321E-2</v>
      </c>
      <c r="BA83" s="15"/>
      <c r="BB83" s="136">
        <v>82769.412211421601</v>
      </c>
      <c r="BC83" s="131">
        <v>0.33064288023924276</v>
      </c>
      <c r="BD83" s="15"/>
      <c r="BE83" s="136">
        <v>82769.412211421601</v>
      </c>
      <c r="BF83" s="18">
        <v>65.643656172945612</v>
      </c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</row>
    <row r="84" spans="1:71" ht="14.5" x14ac:dyDescent="0.35">
      <c r="A84" s="7">
        <v>83</v>
      </c>
      <c r="B84" s="46" t="s">
        <v>366</v>
      </c>
      <c r="C84" s="113"/>
      <c r="D84" s="113">
        <v>2.5641213383719301</v>
      </c>
      <c r="E84" s="113">
        <v>1.66137892568142</v>
      </c>
      <c r="F84" s="114">
        <v>3.4668637510624398</v>
      </c>
      <c r="G84" s="46">
        <v>1.5599215470150001</v>
      </c>
      <c r="H84" s="113">
        <v>1.0074981857549401</v>
      </c>
      <c r="I84" s="115">
        <v>2.5641213383719301</v>
      </c>
      <c r="J84" s="61">
        <v>41454761</v>
      </c>
      <c r="K84" s="115">
        <v>2023</v>
      </c>
      <c r="L84" s="116">
        <v>17233051620.111698</v>
      </c>
      <c r="M84" s="113">
        <v>2023</v>
      </c>
      <c r="N84" s="116">
        <v>415.70741705908603</v>
      </c>
      <c r="O84" s="114">
        <v>2023</v>
      </c>
      <c r="P84" s="116">
        <v>15613673958.5595</v>
      </c>
      <c r="Q84" s="113">
        <v>2023</v>
      </c>
      <c r="R84" s="113">
        <v>380</v>
      </c>
      <c r="S84" s="115">
        <v>2023</v>
      </c>
      <c r="T84" s="47"/>
      <c r="U84" s="114"/>
      <c r="V84" s="46">
        <v>2.30237251516819</v>
      </c>
      <c r="W84" s="115">
        <v>2019</v>
      </c>
      <c r="X84" s="146">
        <v>1.1819999999999999</v>
      </c>
      <c r="Y84" s="114">
        <v>2020</v>
      </c>
      <c r="Z84" s="135">
        <f t="shared" ref="Z84:AB84" si="100">(AJ84*40)* 48</f>
        <v>1241590558.2769363</v>
      </c>
      <c r="AA84" s="135">
        <f t="shared" si="100"/>
        <v>801899452.76936936</v>
      </c>
      <c r="AB84" s="138">
        <f t="shared" si="100"/>
        <v>2043490011.0463052</v>
      </c>
      <c r="AC84" s="18">
        <f t="shared" si="1"/>
        <v>19.343965166494854</v>
      </c>
      <c r="AD84" s="120">
        <f t="shared" si="2"/>
        <v>1467560039.8833387</v>
      </c>
      <c r="AE84" s="121">
        <f t="shared" si="3"/>
        <v>947845153.17339456</v>
      </c>
      <c r="AF84" s="122">
        <f t="shared" si="4"/>
        <v>2415405193.0567331</v>
      </c>
      <c r="AG84" s="123">
        <f t="shared" si="5"/>
        <v>8.5159614921052881E-2</v>
      </c>
      <c r="AH84" s="124">
        <f t="shared" si="6"/>
        <v>5.5001584981456172E-2</v>
      </c>
      <c r="AI84" s="125">
        <f t="shared" si="7"/>
        <v>0.14016119990250905</v>
      </c>
      <c r="AJ84" s="126">
        <v>646661.74910257093</v>
      </c>
      <c r="AK84" s="127">
        <v>417655.96498404653</v>
      </c>
      <c r="AL84" s="127">
        <f t="shared" si="8"/>
        <v>1064317.7140866173</v>
      </c>
      <c r="AM84" s="123">
        <f t="shared" si="97"/>
        <v>0.39241662471292516</v>
      </c>
      <c r="AN84" s="129">
        <f t="shared" si="9"/>
        <v>0.60758337528707496</v>
      </c>
      <c r="AO84" s="130">
        <f t="shared" si="10"/>
        <v>0.39241662471292521</v>
      </c>
      <c r="AP84" s="19" t="s">
        <v>64</v>
      </c>
      <c r="AQ84" s="20" t="s">
        <v>367</v>
      </c>
      <c r="AR84" s="20" t="s">
        <v>368</v>
      </c>
      <c r="AS84" s="20" t="s">
        <v>369</v>
      </c>
      <c r="AT84" s="21" t="s">
        <v>12</v>
      </c>
      <c r="AU84" s="22" t="s">
        <v>13</v>
      </c>
      <c r="AV84" s="15"/>
      <c r="AW84" s="15"/>
      <c r="AX84" s="15"/>
      <c r="AY84" s="147">
        <v>3457.4569157045498</v>
      </c>
      <c r="AZ84" s="125">
        <v>1.2289593533386472E-2</v>
      </c>
      <c r="BA84" s="15"/>
      <c r="BB84" s="136">
        <v>3457.4569157045498</v>
      </c>
      <c r="BC84" s="131">
        <v>0.15221478238078681</v>
      </c>
      <c r="BD84" s="15"/>
      <c r="BE84" s="136">
        <v>3457.4569157045498</v>
      </c>
      <c r="BF84" s="18">
        <v>8.410557562573036</v>
      </c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</row>
    <row r="85" spans="1:71" ht="14.5" x14ac:dyDescent="0.35">
      <c r="A85" s="7">
        <v>84</v>
      </c>
      <c r="B85" s="23" t="s">
        <v>89</v>
      </c>
      <c r="C85" s="132"/>
      <c r="D85" s="132">
        <v>2.15880360149177</v>
      </c>
      <c r="E85" s="132">
        <v>1.34009937812715</v>
      </c>
      <c r="F85" s="133">
        <v>2.9775078248564002</v>
      </c>
      <c r="G85" s="23">
        <v>1.40354552181901</v>
      </c>
      <c r="H85" s="132">
        <v>0.72091974610625198</v>
      </c>
      <c r="I85" s="134">
        <v>2.15880360149177</v>
      </c>
      <c r="J85" s="135">
        <v>171466990</v>
      </c>
      <c r="K85" s="134">
        <v>2023</v>
      </c>
      <c r="L85" s="136">
        <v>437415331040.99402</v>
      </c>
      <c r="M85" s="132">
        <v>2023</v>
      </c>
      <c r="N85" s="136">
        <v>2551.0177267414201</v>
      </c>
      <c r="O85" s="133">
        <v>2023</v>
      </c>
      <c r="P85" s="136">
        <v>493931962471.17603</v>
      </c>
      <c r="Q85" s="132">
        <v>2023</v>
      </c>
      <c r="R85" s="132">
        <v>2880</v>
      </c>
      <c r="S85" s="134">
        <v>2023</v>
      </c>
      <c r="T85" s="17">
        <v>33.4</v>
      </c>
      <c r="U85" s="133">
        <v>2022</v>
      </c>
      <c r="V85" s="23">
        <v>9.8835030377920994</v>
      </c>
      <c r="W85" s="134">
        <v>2023</v>
      </c>
      <c r="X85" s="137">
        <v>0.70699999999999996</v>
      </c>
      <c r="Y85" s="133">
        <v>2017</v>
      </c>
      <c r="Z85" s="135">
        <f t="shared" ref="Z85:AB85" si="101">(AJ85*40)* 48</f>
        <v>4620705138.3222713</v>
      </c>
      <c r="AA85" s="135">
        <f t="shared" si="101"/>
        <v>2373387626.8109431</v>
      </c>
      <c r="AB85" s="138">
        <f t="shared" si="101"/>
        <v>6994092765.133215</v>
      </c>
      <c r="AC85" s="18">
        <f t="shared" si="1"/>
        <v>13.841659125240042</v>
      </c>
      <c r="AD85" s="120">
        <f t="shared" si="2"/>
        <v>3266838532.7938457</v>
      </c>
      <c r="AE85" s="121">
        <f t="shared" si="3"/>
        <v>1677985052.1553366</v>
      </c>
      <c r="AF85" s="122">
        <f t="shared" si="4"/>
        <v>4944823584.9491825</v>
      </c>
      <c r="AG85" s="123">
        <f t="shared" si="5"/>
        <v>7.4685048761760969E-3</v>
      </c>
      <c r="AH85" s="124">
        <f t="shared" si="6"/>
        <v>3.8361368088355319E-3</v>
      </c>
      <c r="AI85" s="125">
        <f t="shared" si="7"/>
        <v>1.1304641685011628E-2</v>
      </c>
      <c r="AJ85" s="139">
        <v>2406617.2595428498</v>
      </c>
      <c r="AK85" s="140">
        <v>1236139.388964033</v>
      </c>
      <c r="AL85" s="140">
        <f t="shared" si="8"/>
        <v>3642756.6485068826</v>
      </c>
      <c r="AM85" s="123">
        <f t="shared" si="97"/>
        <v>0.33934174259779604</v>
      </c>
      <c r="AN85" s="129">
        <f t="shared" si="9"/>
        <v>0.66065825740220396</v>
      </c>
      <c r="AO85" s="130">
        <f t="shared" si="10"/>
        <v>0.33934174259779609</v>
      </c>
      <c r="AP85" s="19" t="s">
        <v>64</v>
      </c>
      <c r="AQ85" s="20" t="s">
        <v>90</v>
      </c>
      <c r="AR85" s="20" t="s">
        <v>91</v>
      </c>
      <c r="AS85" s="20" t="s">
        <v>92</v>
      </c>
      <c r="AT85" s="21" t="s">
        <v>59</v>
      </c>
      <c r="AU85" s="22" t="s">
        <v>13</v>
      </c>
      <c r="AV85" s="15"/>
      <c r="AW85" s="15"/>
      <c r="AX85" s="15"/>
      <c r="AY85" s="147">
        <v>1233.1966620926901</v>
      </c>
      <c r="AZ85" s="125">
        <v>4.8117118617079478E-2</v>
      </c>
      <c r="BB85" s="136">
        <v>1233.1966620926901</v>
      </c>
      <c r="BC85" s="131">
        <v>0.38332318271383731</v>
      </c>
      <c r="BE85" s="136">
        <v>1233.1966620926901</v>
      </c>
      <c r="BF85" s="18">
        <v>18.876001004119853</v>
      </c>
    </row>
    <row r="86" spans="1:71" ht="14.5" x14ac:dyDescent="0.35">
      <c r="A86" s="7">
        <v>85</v>
      </c>
      <c r="B86" s="23" t="s">
        <v>85</v>
      </c>
      <c r="C86" s="132">
        <v>1.5705572860770101</v>
      </c>
      <c r="D86" s="132">
        <v>2.59218779157202</v>
      </c>
      <c r="E86" s="132">
        <v>0.458646414952943</v>
      </c>
      <c r="F86" s="133">
        <v>4.7257291681910898</v>
      </c>
      <c r="G86" s="23">
        <v>1.39715217397745</v>
      </c>
      <c r="H86" s="132">
        <v>1.1843950613423699</v>
      </c>
      <c r="I86" s="134">
        <v>1.5705572860770101</v>
      </c>
      <c r="J86" s="135">
        <v>1438069596</v>
      </c>
      <c r="K86" s="134">
        <v>2023</v>
      </c>
      <c r="L86" s="136">
        <v>3567551674623.0098</v>
      </c>
      <c r="M86" s="132">
        <v>2023</v>
      </c>
      <c r="N86" s="136">
        <v>2480.7920872162099</v>
      </c>
      <c r="O86" s="133">
        <v>2023</v>
      </c>
      <c r="P86" s="136">
        <v>3649300224484.6802</v>
      </c>
      <c r="Q86" s="132">
        <v>2023</v>
      </c>
      <c r="R86" s="132">
        <v>2540</v>
      </c>
      <c r="S86" s="134">
        <v>2023</v>
      </c>
      <c r="T86" s="17">
        <v>32.799999999999997</v>
      </c>
      <c r="U86" s="133">
        <v>2021</v>
      </c>
      <c r="V86" s="23">
        <v>5.6491431890792496</v>
      </c>
      <c r="W86" s="134">
        <v>2023</v>
      </c>
      <c r="X86" s="137">
        <v>0.99</v>
      </c>
      <c r="Y86" s="133">
        <v>2023</v>
      </c>
      <c r="Z86" s="135">
        <f t="shared" ref="Z86:AB86" si="102">(AJ86*40)* 48</f>
        <v>38576679597.739639</v>
      </c>
      <c r="AA86" s="135">
        <f t="shared" si="102"/>
        <v>32702256525.485126</v>
      </c>
      <c r="AB86" s="138">
        <f t="shared" si="102"/>
        <v>71278936123.224762</v>
      </c>
      <c r="AC86" s="18">
        <f t="shared" si="1"/>
        <v>22.740385177773501</v>
      </c>
      <c r="AD86" s="120">
        <f t="shared" si="2"/>
        <v>38190912801.762245</v>
      </c>
      <c r="AE86" s="121">
        <f t="shared" si="3"/>
        <v>32375233960.230274</v>
      </c>
      <c r="AF86" s="122">
        <f t="shared" si="4"/>
        <v>70566146761.992523</v>
      </c>
      <c r="AG86" s="123">
        <f t="shared" si="5"/>
        <v>1.0705076277780322E-2</v>
      </c>
      <c r="AH86" s="124">
        <f t="shared" si="6"/>
        <v>9.0749166131283664E-3</v>
      </c>
      <c r="AI86" s="125">
        <f t="shared" si="7"/>
        <v>1.977999289090869E-2</v>
      </c>
      <c r="AJ86" s="139">
        <v>20092020.62382273</v>
      </c>
      <c r="AK86" s="140">
        <v>17032425.273690172</v>
      </c>
      <c r="AL86" s="140">
        <f t="shared" si="8"/>
        <v>37124445.897512898</v>
      </c>
      <c r="AM86" s="123">
        <f t="shared" si="97"/>
        <v>0.45879271358582707</v>
      </c>
      <c r="AN86" s="129">
        <f t="shared" si="9"/>
        <v>0.54120728641417293</v>
      </c>
      <c r="AO86" s="130">
        <f t="shared" si="10"/>
        <v>0.45879271358582718</v>
      </c>
      <c r="AP86" s="19" t="s">
        <v>64</v>
      </c>
      <c r="AQ86" s="20" t="s">
        <v>86</v>
      </c>
      <c r="AR86" s="20" t="s">
        <v>87</v>
      </c>
      <c r="AS86" s="20" t="s">
        <v>88</v>
      </c>
      <c r="AT86" s="21" t="s">
        <v>59</v>
      </c>
      <c r="AU86" s="22" t="s">
        <v>60</v>
      </c>
      <c r="AV86" s="15"/>
      <c r="AW86" s="15"/>
      <c r="AX86" s="15"/>
      <c r="AY86" s="147">
        <v>55516.836477473997</v>
      </c>
      <c r="AZ86" s="125">
        <v>9.9553378611506621E-2</v>
      </c>
      <c r="BA86" s="15"/>
      <c r="BB86" s="136">
        <v>55516.836477473997</v>
      </c>
      <c r="BC86" s="131">
        <v>0.4408152813094493</v>
      </c>
      <c r="BD86" s="15"/>
      <c r="BE86" s="136">
        <v>55516.836477473997</v>
      </c>
      <c r="BF86" s="18">
        <v>112.27359313902183</v>
      </c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</row>
    <row r="87" spans="1:71" ht="14.5" x14ac:dyDescent="0.35">
      <c r="A87" s="7">
        <v>86</v>
      </c>
      <c r="B87" s="23" t="s">
        <v>67</v>
      </c>
      <c r="C87" s="132"/>
      <c r="D87" s="132">
        <v>2.19084634151845</v>
      </c>
      <c r="E87" s="132">
        <v>1.3657189141147199</v>
      </c>
      <c r="F87" s="133">
        <v>3.0159737689221799</v>
      </c>
      <c r="G87" s="23">
        <v>1.5084276851514899</v>
      </c>
      <c r="H87" s="132">
        <v>0.72584687859146502</v>
      </c>
      <c r="I87" s="134">
        <v>2.19084634151845</v>
      </c>
      <c r="J87" s="135">
        <v>29694614</v>
      </c>
      <c r="K87" s="134">
        <v>2023</v>
      </c>
      <c r="L87" s="136">
        <v>40908073366.845497</v>
      </c>
      <c r="M87" s="132">
        <v>2023</v>
      </c>
      <c r="N87" s="136">
        <v>1377.6260357129199</v>
      </c>
      <c r="O87" s="133">
        <v>2023</v>
      </c>
      <c r="P87" s="136">
        <v>42332900721.658203</v>
      </c>
      <c r="Q87" s="132">
        <v>2023</v>
      </c>
      <c r="R87" s="132">
        <v>1430</v>
      </c>
      <c r="S87" s="134">
        <v>2023</v>
      </c>
      <c r="T87" s="17">
        <v>30</v>
      </c>
      <c r="U87" s="133">
        <v>2022</v>
      </c>
      <c r="V87" s="23">
        <v>7.11475951738199</v>
      </c>
      <c r="W87" s="134">
        <v>2023</v>
      </c>
      <c r="X87" s="137">
        <v>1.0660000000000001</v>
      </c>
      <c r="Y87" s="133">
        <v>2017</v>
      </c>
      <c r="Z87" s="135">
        <f t="shared" ref="Z87:AB87" si="103">(AJ87*40)* 48</f>
        <v>860009814.86375105</v>
      </c>
      <c r="AA87" s="135">
        <f t="shared" si="103"/>
        <v>413831863.35126567</v>
      </c>
      <c r="AB87" s="138">
        <f t="shared" si="103"/>
        <v>1273841678.2150164</v>
      </c>
      <c r="AC87" s="18">
        <f t="shared" si="1"/>
        <v>13.93626006895613</v>
      </c>
      <c r="AD87" s="120">
        <f t="shared" si="2"/>
        <v>916770462.6447587</v>
      </c>
      <c r="AE87" s="121">
        <f t="shared" si="3"/>
        <v>441144766.3324492</v>
      </c>
      <c r="AF87" s="122">
        <f t="shared" si="4"/>
        <v>1357915228.9772079</v>
      </c>
      <c r="AG87" s="123">
        <f t="shared" si="5"/>
        <v>2.2410502064557452E-2</v>
      </c>
      <c r="AH87" s="124">
        <f t="shared" si="6"/>
        <v>1.0783806960950182E-2</v>
      </c>
      <c r="AI87" s="125">
        <f t="shared" si="7"/>
        <v>3.3194309025507636E-2</v>
      </c>
      <c r="AJ87" s="139">
        <v>447921.77857487032</v>
      </c>
      <c r="AK87" s="140">
        <v>215537.42882878421</v>
      </c>
      <c r="AL87" s="140">
        <f t="shared" si="8"/>
        <v>663459.20740365447</v>
      </c>
      <c r="AM87" s="123">
        <f t="shared" si="97"/>
        <v>0.32486915009026213</v>
      </c>
      <c r="AN87" s="129">
        <f t="shared" si="9"/>
        <v>0.67513084990973793</v>
      </c>
      <c r="AO87" s="130">
        <f t="shared" si="10"/>
        <v>0.32486915009026218</v>
      </c>
      <c r="AP87" s="19" t="s">
        <v>64</v>
      </c>
      <c r="AQ87" s="20" t="s">
        <v>68</v>
      </c>
      <c r="AR87" s="20">
        <v>85.315700000000007</v>
      </c>
      <c r="AS87" s="20">
        <v>27.693899999999999</v>
      </c>
      <c r="AT87" s="21" t="s">
        <v>59</v>
      </c>
      <c r="AU87" s="22" t="s">
        <v>13</v>
      </c>
      <c r="AV87" s="15"/>
      <c r="AW87" s="15"/>
      <c r="AX87" s="15"/>
      <c r="AY87" s="147">
        <v>27786.005782927601</v>
      </c>
      <c r="AZ87" s="125">
        <v>1.2895809389306906E-2</v>
      </c>
      <c r="BB87" s="136">
        <v>27786.005782927601</v>
      </c>
      <c r="BC87" s="131">
        <v>0.28066058281199341</v>
      </c>
      <c r="BE87" s="136">
        <v>27786.005782927601</v>
      </c>
      <c r="BF87" s="18">
        <v>16.486418300374716</v>
      </c>
    </row>
    <row r="88" spans="1:71" ht="14.5" x14ac:dyDescent="0.35">
      <c r="A88" s="7">
        <v>87</v>
      </c>
      <c r="B88" s="23" t="s">
        <v>63</v>
      </c>
      <c r="C88" s="132">
        <v>1.03575423623483</v>
      </c>
      <c r="D88" s="132">
        <v>1.6202979978483301</v>
      </c>
      <c r="E88" s="132">
        <v>0.72637522972545099</v>
      </c>
      <c r="F88" s="133">
        <v>2.5142207659712201</v>
      </c>
      <c r="G88" s="23">
        <v>0.82496972969924398</v>
      </c>
      <c r="H88" s="132">
        <v>0.61266494600837096</v>
      </c>
      <c r="I88" s="134">
        <v>1.03575423623483</v>
      </c>
      <c r="J88" s="135">
        <v>247504495</v>
      </c>
      <c r="K88" s="134">
        <v>2023</v>
      </c>
      <c r="L88" s="136">
        <v>337912301397.72699</v>
      </c>
      <c r="M88" s="132">
        <v>2023</v>
      </c>
      <c r="N88" s="136">
        <v>1365.27743222493</v>
      </c>
      <c r="O88" s="133">
        <v>2023</v>
      </c>
      <c r="P88" s="136">
        <v>360507993853.12201</v>
      </c>
      <c r="Q88" s="132">
        <v>2023</v>
      </c>
      <c r="R88" s="132">
        <v>1460</v>
      </c>
      <c r="S88" s="134">
        <v>2023</v>
      </c>
      <c r="T88" s="17">
        <v>29.6</v>
      </c>
      <c r="U88" s="133">
        <v>2018</v>
      </c>
      <c r="V88" s="23">
        <v>30.768128065700498</v>
      </c>
      <c r="W88" s="134">
        <v>2023</v>
      </c>
      <c r="X88" s="137">
        <v>0.74</v>
      </c>
      <c r="Y88" s="133">
        <v>2021</v>
      </c>
      <c r="Z88" s="135">
        <f t="shared" ref="Z88:AB88" si="104">(AJ88*40)* 48</f>
        <v>3920327353.7183599</v>
      </c>
      <c r="AA88" s="135">
        <f t="shared" si="104"/>
        <v>2911436698.8672786</v>
      </c>
      <c r="AB88" s="138">
        <f t="shared" si="104"/>
        <v>6831764052.585638</v>
      </c>
      <c r="AC88" s="18">
        <f t="shared" si="1"/>
        <v>11.763166963360721</v>
      </c>
      <c r="AD88" s="120">
        <f t="shared" si="2"/>
        <v>2901042241.7515864</v>
      </c>
      <c r="AE88" s="121">
        <f t="shared" si="3"/>
        <v>2154463157.1617861</v>
      </c>
      <c r="AF88" s="122">
        <f t="shared" si="4"/>
        <v>5055505398.913372</v>
      </c>
      <c r="AG88" s="123">
        <f t="shared" si="5"/>
        <v>8.5851927549006977E-3</v>
      </c>
      <c r="AH88" s="124">
        <f t="shared" si="6"/>
        <v>6.3758056402508888E-3</v>
      </c>
      <c r="AI88" s="125">
        <f t="shared" si="7"/>
        <v>1.4960998395151586E-2</v>
      </c>
      <c r="AJ88" s="139">
        <v>2041837.163394979</v>
      </c>
      <c r="AK88" s="140">
        <v>1516373.2806600409</v>
      </c>
      <c r="AL88" s="140">
        <f t="shared" si="8"/>
        <v>3558210.4440550199</v>
      </c>
      <c r="AM88" s="123">
        <f t="shared" si="97"/>
        <v>0.42616177556152257</v>
      </c>
      <c r="AN88" s="129">
        <f t="shared" si="9"/>
        <v>0.57383822443847743</v>
      </c>
      <c r="AO88" s="130">
        <f t="shared" si="10"/>
        <v>0.42616177556152257</v>
      </c>
      <c r="AP88" s="19" t="s">
        <v>64</v>
      </c>
      <c r="AQ88" s="20" t="s">
        <v>65</v>
      </c>
      <c r="AR88" s="20">
        <v>72.8</v>
      </c>
      <c r="AS88" s="20">
        <v>30.5167</v>
      </c>
      <c r="AT88" s="21" t="s">
        <v>59</v>
      </c>
      <c r="AU88" s="22" t="s">
        <v>66</v>
      </c>
      <c r="AV88" s="15"/>
      <c r="AW88" s="15"/>
      <c r="AX88" s="15"/>
      <c r="AY88" s="147">
        <v>5391.0692618133799</v>
      </c>
      <c r="AZ88" s="125">
        <v>0.12584370612296508</v>
      </c>
      <c r="BA88" s="15"/>
      <c r="BB88" s="136">
        <v>5391.0692618133799</v>
      </c>
      <c r="BC88" s="131">
        <v>0.36314216988312464</v>
      </c>
      <c r="BD88" s="15"/>
      <c r="BE88" s="136">
        <v>5391.0692618133799</v>
      </c>
      <c r="BF88" s="18">
        <v>21.692992686367106</v>
      </c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</row>
    <row r="89" spans="1:71" ht="14.5" x14ac:dyDescent="0.35">
      <c r="A89" s="7">
        <v>88</v>
      </c>
      <c r="B89" s="23" t="s">
        <v>112</v>
      </c>
      <c r="C89" s="132"/>
      <c r="D89" s="132">
        <v>1.8803672505218401</v>
      </c>
      <c r="E89" s="132">
        <v>1.0494676860079599</v>
      </c>
      <c r="F89" s="133">
        <v>2.71126681503572</v>
      </c>
      <c r="G89" s="23">
        <v>1.25818138186541</v>
      </c>
      <c r="H89" s="132">
        <v>0.55126522323420002</v>
      </c>
      <c r="I89" s="134">
        <v>1.8803672505218401</v>
      </c>
      <c r="J89" s="135">
        <v>22037000</v>
      </c>
      <c r="K89" s="134">
        <v>2023</v>
      </c>
      <c r="L89" s="136">
        <v>84356863743.633499</v>
      </c>
      <c r="M89" s="132">
        <v>2023</v>
      </c>
      <c r="N89" s="136">
        <v>3827.9649563748899</v>
      </c>
      <c r="O89" s="133">
        <v>2023</v>
      </c>
      <c r="P89" s="136">
        <v>77922856754.979797</v>
      </c>
      <c r="Q89" s="132">
        <v>2023</v>
      </c>
      <c r="R89" s="132">
        <v>3540</v>
      </c>
      <c r="S89" s="134">
        <v>2023</v>
      </c>
      <c r="T89" s="17">
        <v>37.700000000000003</v>
      </c>
      <c r="U89" s="133">
        <v>2019</v>
      </c>
      <c r="V89" s="23">
        <v>16.541174227983198</v>
      </c>
      <c r="W89" s="134">
        <v>2023</v>
      </c>
      <c r="X89" s="137">
        <v>1.196</v>
      </c>
      <c r="Y89" s="133">
        <v>2021</v>
      </c>
      <c r="Z89" s="135">
        <f t="shared" ref="Z89:AB89" si="105">(AJ89*40)* 48</f>
        <v>532349627.75362641</v>
      </c>
      <c r="AA89" s="135">
        <f t="shared" si="105"/>
        <v>233246049.10871172</v>
      </c>
      <c r="AB89" s="138">
        <f t="shared" si="105"/>
        <v>765595676.86233807</v>
      </c>
      <c r="AC89" s="18">
        <f t="shared" si="1"/>
        <v>10.584292286096643</v>
      </c>
      <c r="AD89" s="120">
        <f t="shared" si="2"/>
        <v>636690154.79333711</v>
      </c>
      <c r="AE89" s="121">
        <f t="shared" si="3"/>
        <v>278962274.73401922</v>
      </c>
      <c r="AF89" s="122">
        <f t="shared" si="4"/>
        <v>915652429.52735639</v>
      </c>
      <c r="AG89" s="123">
        <f t="shared" si="5"/>
        <v>7.5475797289985044E-3</v>
      </c>
      <c r="AH89" s="124">
        <f t="shared" si="6"/>
        <v>3.3069303712120615E-3</v>
      </c>
      <c r="AI89" s="125">
        <f t="shared" si="7"/>
        <v>1.0854510100210567E-2</v>
      </c>
      <c r="AJ89" s="139">
        <v>277265.43112168042</v>
      </c>
      <c r="AK89" s="140">
        <v>121482.3172441207</v>
      </c>
      <c r="AL89" s="140">
        <f t="shared" si="8"/>
        <v>398747.74836580112</v>
      </c>
      <c r="AM89" s="123">
        <f t="shared" si="97"/>
        <v>0.30465956921887338</v>
      </c>
      <c r="AN89" s="129">
        <f t="shared" si="9"/>
        <v>0.69534043078112662</v>
      </c>
      <c r="AO89" s="130">
        <f t="shared" si="10"/>
        <v>0.30465956921887338</v>
      </c>
      <c r="AP89" s="35" t="s">
        <v>64</v>
      </c>
      <c r="AQ89" s="20" t="s">
        <v>113</v>
      </c>
      <c r="AR89" s="20">
        <v>79.852800000000002</v>
      </c>
      <c r="AS89" s="20">
        <v>6.9214799999999999</v>
      </c>
      <c r="AT89" s="20" t="s">
        <v>59</v>
      </c>
      <c r="AU89" s="22" t="s">
        <v>60</v>
      </c>
      <c r="AV89" s="15"/>
      <c r="AW89" s="15"/>
      <c r="AX89" s="15"/>
      <c r="AY89" s="15"/>
      <c r="AZ89" s="22"/>
      <c r="BA89" s="15"/>
      <c r="BB89" s="136"/>
      <c r="BC89" s="131"/>
      <c r="BD89" s="15"/>
      <c r="BE89" s="136"/>
      <c r="BF89" s="18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</row>
    <row r="90" spans="1:71" ht="14.5" x14ac:dyDescent="0.35">
      <c r="A90" s="7">
        <v>89</v>
      </c>
      <c r="B90" s="23" t="s">
        <v>95</v>
      </c>
      <c r="C90" s="132"/>
      <c r="D90" s="132">
        <v>2.6902517091680802</v>
      </c>
      <c r="E90" s="132">
        <v>1.8913657105863699</v>
      </c>
      <c r="F90" s="133">
        <v>3.48913770774978</v>
      </c>
      <c r="G90" s="23">
        <v>1.69489284553789</v>
      </c>
      <c r="H90" s="132">
        <v>1.05308091299059</v>
      </c>
      <c r="I90" s="134">
        <v>2.6902517091680802</v>
      </c>
      <c r="J90" s="135">
        <v>14111034</v>
      </c>
      <c r="K90" s="134">
        <v>2023</v>
      </c>
      <c r="L90" s="136">
        <v>19676049075.701099</v>
      </c>
      <c r="M90" s="132">
        <v>2023</v>
      </c>
      <c r="N90" s="136">
        <v>1394.37330217623</v>
      </c>
      <c r="O90" s="133">
        <v>2023</v>
      </c>
      <c r="P90" s="136">
        <v>19610877128.044102</v>
      </c>
      <c r="Q90" s="132">
        <v>2023</v>
      </c>
      <c r="R90" s="132">
        <v>1390</v>
      </c>
      <c r="S90" s="134">
        <v>2023</v>
      </c>
      <c r="T90" s="17">
        <v>34.4</v>
      </c>
      <c r="U90" s="133">
        <v>2021</v>
      </c>
      <c r="V90" s="23">
        <v>2.7310246528023301</v>
      </c>
      <c r="W90" s="134">
        <v>2023</v>
      </c>
      <c r="X90" s="137">
        <v>1.1930000000000001</v>
      </c>
      <c r="Y90" s="133">
        <v>2011</v>
      </c>
      <c r="Z90" s="135">
        <f t="shared" ref="Z90:AB90" si="106">(AJ90*40)* 48</f>
        <v>459200458.93904471</v>
      </c>
      <c r="AA90" s="135">
        <f t="shared" si="106"/>
        <v>285313162.9048562</v>
      </c>
      <c r="AB90" s="138">
        <f t="shared" si="106"/>
        <v>744513621.8439008</v>
      </c>
      <c r="AC90" s="18">
        <f t="shared" si="1"/>
        <v>20.219153529419334</v>
      </c>
      <c r="AD90" s="120">
        <f t="shared" si="2"/>
        <v>547826147.51428032</v>
      </c>
      <c r="AE90" s="121">
        <f t="shared" si="3"/>
        <v>340378603.3454935</v>
      </c>
      <c r="AF90" s="122">
        <f t="shared" si="4"/>
        <v>888204750.85977387</v>
      </c>
      <c r="AG90" s="123">
        <f t="shared" si="5"/>
        <v>2.7842284058480889E-2</v>
      </c>
      <c r="AH90" s="124">
        <f t="shared" si="6"/>
        <v>1.7299133684609651E-2</v>
      </c>
      <c r="AI90" s="125">
        <f t="shared" si="7"/>
        <v>4.5141417743090537E-2</v>
      </c>
      <c r="AJ90" s="139">
        <v>239166.9056974191</v>
      </c>
      <c r="AK90" s="140">
        <v>148600.60567961261</v>
      </c>
      <c r="AL90" s="140">
        <f t="shared" si="8"/>
        <v>387767.51137703168</v>
      </c>
      <c r="AM90" s="123">
        <f t="shared" si="97"/>
        <v>0.38322087673592176</v>
      </c>
      <c r="AN90" s="129">
        <f t="shared" si="9"/>
        <v>0.61677912326407824</v>
      </c>
      <c r="AO90" s="130">
        <f t="shared" si="10"/>
        <v>0.38322087673592181</v>
      </c>
      <c r="AP90" s="19" t="s">
        <v>10</v>
      </c>
      <c r="AQ90" s="20" t="s">
        <v>96</v>
      </c>
      <c r="AR90" s="20" t="s">
        <v>97</v>
      </c>
      <c r="AS90" s="20" t="s">
        <v>98</v>
      </c>
      <c r="AT90" s="21" t="s">
        <v>59</v>
      </c>
      <c r="AU90" s="22" t="s">
        <v>13</v>
      </c>
      <c r="AV90" s="15"/>
      <c r="AW90" s="15"/>
      <c r="AX90" s="15"/>
      <c r="AY90" s="15"/>
      <c r="AZ90" s="125">
        <v>1.0854510100210567E-2</v>
      </c>
      <c r="BA90" s="15"/>
      <c r="BB90" s="136">
        <v>3827.9649563748899</v>
      </c>
      <c r="BC90" s="131">
        <v>0.30465956921887338</v>
      </c>
      <c r="BD90" s="15"/>
      <c r="BE90" s="136">
        <v>3827.9649563748899</v>
      </c>
      <c r="BF90" s="18">
        <v>10.584292286096643</v>
      </c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</row>
    <row r="91" spans="1:71" ht="14.5" x14ac:dyDescent="0.35">
      <c r="A91" s="7">
        <v>90</v>
      </c>
      <c r="B91" s="23" t="s">
        <v>233</v>
      </c>
      <c r="C91" s="132"/>
      <c r="D91" s="132">
        <v>6.5946383179884798</v>
      </c>
      <c r="E91" s="132">
        <v>5.8672074131611804</v>
      </c>
      <c r="F91" s="133">
        <v>7.3220692228157702</v>
      </c>
      <c r="G91" s="23">
        <v>4.1260424696956601</v>
      </c>
      <c r="H91" s="132">
        <v>2.8939373823515999</v>
      </c>
      <c r="I91" s="134">
        <v>6.5946383179884798</v>
      </c>
      <c r="J91" s="135">
        <v>2480244</v>
      </c>
      <c r="K91" s="134">
        <v>2023</v>
      </c>
      <c r="L91" s="136">
        <v>19396084498.0084</v>
      </c>
      <c r="M91" s="132">
        <v>2023</v>
      </c>
      <c r="N91" s="136">
        <v>7820.2324037507597</v>
      </c>
      <c r="O91" s="133">
        <v>2023</v>
      </c>
      <c r="P91" s="136">
        <v>20694114857.162102</v>
      </c>
      <c r="Q91" s="132">
        <v>2023</v>
      </c>
      <c r="R91" s="132">
        <v>8340</v>
      </c>
      <c r="S91" s="134">
        <v>2023</v>
      </c>
      <c r="T91" s="17">
        <v>53.3</v>
      </c>
      <c r="U91" s="133">
        <v>2015</v>
      </c>
      <c r="V91" s="23">
        <v>5.0676154934383</v>
      </c>
      <c r="W91" s="134">
        <v>2023</v>
      </c>
      <c r="X91" s="137">
        <v>2.919</v>
      </c>
      <c r="Y91" s="133">
        <v>2023</v>
      </c>
      <c r="Z91" s="135">
        <f t="shared" ref="Z91:AB91" si="107">(AJ91*40)* 48</f>
        <v>196484967.92079049</v>
      </c>
      <c r="AA91" s="135">
        <f t="shared" si="107"/>
        <v>137811279.91590261</v>
      </c>
      <c r="AB91" s="138">
        <f t="shared" si="107"/>
        <v>334296247.83669317</v>
      </c>
      <c r="AC91" s="18">
        <f t="shared" si="1"/>
        <v>55.563597741150716</v>
      </c>
      <c r="AD91" s="120">
        <f t="shared" si="2"/>
        <v>573539621.36078751</v>
      </c>
      <c r="AE91" s="121">
        <f t="shared" si="3"/>
        <v>402271126.07451975</v>
      </c>
      <c r="AF91" s="122">
        <f t="shared" si="4"/>
        <v>975810747.43530726</v>
      </c>
      <c r="AG91" s="123">
        <f t="shared" si="5"/>
        <v>2.9569866094349036E-2</v>
      </c>
      <c r="AH91" s="124">
        <f t="shared" si="6"/>
        <v>2.0739810971426999E-2</v>
      </c>
      <c r="AI91" s="125">
        <f t="shared" si="7"/>
        <v>5.0309677065776034E-2</v>
      </c>
      <c r="AJ91" s="139">
        <v>102335.9207920784</v>
      </c>
      <c r="AK91" s="140">
        <v>71776.708289532617</v>
      </c>
      <c r="AL91" s="140">
        <f t="shared" si="8"/>
        <v>174112.629081611</v>
      </c>
      <c r="AM91" s="123">
        <f t="shared" si="97"/>
        <v>0.41224297552757677</v>
      </c>
      <c r="AN91" s="129">
        <f t="shared" si="9"/>
        <v>0.58775702447242328</v>
      </c>
      <c r="AO91" s="130">
        <f t="shared" si="10"/>
        <v>0.41224297552757677</v>
      </c>
      <c r="AP91" s="19" t="s">
        <v>10</v>
      </c>
      <c r="AQ91" s="20" t="s">
        <v>234</v>
      </c>
      <c r="AR91" s="20" t="s">
        <v>235</v>
      </c>
      <c r="AS91" s="20" t="s">
        <v>236</v>
      </c>
      <c r="AT91" s="21" t="s">
        <v>152</v>
      </c>
      <c r="AU91" s="22" t="s">
        <v>60</v>
      </c>
      <c r="AV91" s="15"/>
      <c r="AW91" s="15"/>
      <c r="AX91" s="15"/>
      <c r="AY91" s="15"/>
      <c r="AZ91" s="125"/>
      <c r="BA91" s="15"/>
      <c r="BB91" s="136"/>
      <c r="BC91" s="131"/>
      <c r="BD91" s="15"/>
      <c r="BE91" s="136"/>
      <c r="BF91" s="18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</row>
    <row r="92" spans="1:71" ht="14.5" x14ac:dyDescent="0.35">
      <c r="A92" s="7">
        <v>91</v>
      </c>
      <c r="B92" s="16" t="s">
        <v>24</v>
      </c>
      <c r="C92" s="132"/>
      <c r="D92" s="132">
        <v>2.8991569209581001</v>
      </c>
      <c r="E92" s="132">
        <v>2.0016630208300001</v>
      </c>
      <c r="F92" s="133">
        <v>3.7966508210861898</v>
      </c>
      <c r="G92" s="23">
        <v>1.93130700453093</v>
      </c>
      <c r="H92" s="132">
        <v>1.0849595577115601</v>
      </c>
      <c r="I92" s="134">
        <v>2.8991569209581001</v>
      </c>
      <c r="J92" s="135">
        <v>23025776</v>
      </c>
      <c r="K92" s="134">
        <v>2023</v>
      </c>
      <c r="L92" s="136">
        <v>20324617844.526501</v>
      </c>
      <c r="M92" s="132">
        <v>2023</v>
      </c>
      <c r="N92" s="136">
        <v>882.68981008616299</v>
      </c>
      <c r="O92" s="133">
        <v>2023</v>
      </c>
      <c r="P92" s="136">
        <v>19697494427.105999</v>
      </c>
      <c r="Q92" s="132">
        <v>2023</v>
      </c>
      <c r="R92" s="132">
        <v>860</v>
      </c>
      <c r="S92" s="134">
        <v>2023</v>
      </c>
      <c r="T92" s="17">
        <v>37.4</v>
      </c>
      <c r="U92" s="133">
        <v>2021</v>
      </c>
      <c r="V92" s="23">
        <v>0.74291042866884105</v>
      </c>
      <c r="W92" s="134">
        <v>2023</v>
      </c>
      <c r="X92" s="141">
        <v>1.0681624999999999</v>
      </c>
      <c r="Y92" s="142">
        <v>2023</v>
      </c>
      <c r="Z92" s="135">
        <f t="shared" ref="Z92:AB92" si="108">(AJ92*40)* 48</f>
        <v>853820975.49235547</v>
      </c>
      <c r="AA92" s="135">
        <f t="shared" si="108"/>
        <v>479655086.30256861</v>
      </c>
      <c r="AB92" s="138">
        <f t="shared" si="108"/>
        <v>1333476061.7949238</v>
      </c>
      <c r="AC92" s="18">
        <f t="shared" si="1"/>
        <v>20.831223508061949</v>
      </c>
      <c r="AD92" s="120">
        <f t="shared" si="2"/>
        <v>912019547.73435307</v>
      </c>
      <c r="AE92" s="121">
        <f t="shared" si="3"/>
        <v>512349576.12266737</v>
      </c>
      <c r="AF92" s="122">
        <f t="shared" si="4"/>
        <v>1424369123.8570204</v>
      </c>
      <c r="AG92" s="123">
        <f t="shared" si="5"/>
        <v>4.4872654172927712E-2</v>
      </c>
      <c r="AH92" s="124">
        <f t="shared" si="6"/>
        <v>2.5208325196660223E-2</v>
      </c>
      <c r="AI92" s="125">
        <f t="shared" si="7"/>
        <v>7.0080979369587931E-2</v>
      </c>
      <c r="AJ92" s="139">
        <v>444698.42473560182</v>
      </c>
      <c r="AK92" s="140">
        <v>249820.35744925449</v>
      </c>
      <c r="AL92" s="140">
        <f t="shared" si="8"/>
        <v>694518.78218485625</v>
      </c>
      <c r="AM92" s="148">
        <f t="shared" ref="AM92:AM94" si="109">AJ92/AL92</f>
        <v>0.64029719014458397</v>
      </c>
      <c r="AN92" s="129">
        <f t="shared" si="9"/>
        <v>0.64029719014458397</v>
      </c>
      <c r="AO92" s="130">
        <f t="shared" si="10"/>
        <v>0.35970280985541608</v>
      </c>
      <c r="AP92" s="19" t="s">
        <v>10</v>
      </c>
      <c r="AQ92" s="20" t="s">
        <v>25</v>
      </c>
      <c r="AR92" s="20" t="s">
        <v>26</v>
      </c>
      <c r="AS92" s="20" t="s">
        <v>27</v>
      </c>
      <c r="AT92" s="21" t="s">
        <v>12</v>
      </c>
      <c r="AU92" s="22" t="s">
        <v>13</v>
      </c>
      <c r="AV92" s="15"/>
      <c r="AW92" s="15"/>
      <c r="AX92" s="15"/>
      <c r="AY92" s="147">
        <v>2260.2874128942699</v>
      </c>
      <c r="AZ92" s="125">
        <v>3.779923910010146E-2</v>
      </c>
      <c r="BA92" s="15"/>
      <c r="BB92" s="136">
        <v>2260.2874128942699</v>
      </c>
      <c r="BC92" s="131">
        <v>0.38011859502031481</v>
      </c>
      <c r="BD92" s="15"/>
      <c r="BE92" s="136">
        <v>2260.2874128942699</v>
      </c>
      <c r="BF92" s="18">
        <v>20.010010643713915</v>
      </c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</row>
    <row r="93" spans="1:71" ht="14.5" x14ac:dyDescent="0.35">
      <c r="A93" s="7">
        <v>92</v>
      </c>
      <c r="B93" s="16" t="s">
        <v>134</v>
      </c>
      <c r="C93" s="132"/>
      <c r="D93" s="132">
        <v>4.8806441631690598</v>
      </c>
      <c r="E93" s="132">
        <v>3.7587012167924301</v>
      </c>
      <c r="F93" s="133">
        <v>6.0025871095456997</v>
      </c>
      <c r="G93" s="23">
        <v>2.8362617753030901</v>
      </c>
      <c r="H93" s="132">
        <v>2.2680668948761098</v>
      </c>
      <c r="I93" s="134">
        <v>4.8806441631690598</v>
      </c>
      <c r="J93" s="135">
        <v>522331</v>
      </c>
      <c r="K93" s="134">
        <v>2023</v>
      </c>
      <c r="L93" s="136">
        <v>2533819406.4916</v>
      </c>
      <c r="M93" s="132">
        <v>2023</v>
      </c>
      <c r="N93" s="136">
        <v>4850.9841584964297</v>
      </c>
      <c r="O93" s="133">
        <v>2023</v>
      </c>
      <c r="P93" s="136">
        <v>2496047164.2693801</v>
      </c>
      <c r="Q93" s="132">
        <v>2023</v>
      </c>
      <c r="R93" s="132">
        <v>4780</v>
      </c>
      <c r="S93" s="134">
        <v>2023</v>
      </c>
      <c r="T93" s="17">
        <v>42.4</v>
      </c>
      <c r="U93" s="133">
        <v>2015</v>
      </c>
      <c r="V93" s="23">
        <v>3.72437517668748</v>
      </c>
      <c r="W93" s="134">
        <v>2023</v>
      </c>
      <c r="X93" s="141">
        <v>2.0245000000000002</v>
      </c>
      <c r="Y93" s="142">
        <v>2015</v>
      </c>
      <c r="Z93" s="135">
        <f t="shared" ref="Z93:AB93" si="110">(AJ93*40)* 48</f>
        <v>28444175.027632087</v>
      </c>
      <c r="AA93" s="135">
        <f t="shared" si="110"/>
        <v>22745887.665936634</v>
      </c>
      <c r="AB93" s="138">
        <f t="shared" si="110"/>
        <v>51190062.693568714</v>
      </c>
      <c r="AC93" s="18">
        <f t="shared" si="1"/>
        <v>43.546884381621297</v>
      </c>
      <c r="AD93" s="120">
        <f t="shared" si="2"/>
        <v>57585232.343441166</v>
      </c>
      <c r="AE93" s="121">
        <f t="shared" si="3"/>
        <v>46049049.57968872</v>
      </c>
      <c r="AF93" s="122">
        <f t="shared" si="4"/>
        <v>103634281.92312989</v>
      </c>
      <c r="AG93" s="123">
        <f t="shared" si="5"/>
        <v>2.2726652182041399E-2</v>
      </c>
      <c r="AH93" s="124">
        <f t="shared" si="6"/>
        <v>1.8173769394027008E-2</v>
      </c>
      <c r="AI93" s="125">
        <f t="shared" si="7"/>
        <v>4.0900421576068408E-2</v>
      </c>
      <c r="AJ93" s="139">
        <v>14814.674493558379</v>
      </c>
      <c r="AK93" s="140">
        <v>11846.816492675331</v>
      </c>
      <c r="AL93" s="140">
        <f t="shared" si="8"/>
        <v>26661.490986233708</v>
      </c>
      <c r="AM93" s="148">
        <f t="shared" si="109"/>
        <v>0.5556581400945555</v>
      </c>
      <c r="AN93" s="129">
        <f t="shared" si="9"/>
        <v>0.5556581400945555</v>
      </c>
      <c r="AO93" s="130">
        <f t="shared" si="10"/>
        <v>0.44434185990544456</v>
      </c>
      <c r="AP93" s="19" t="s">
        <v>10</v>
      </c>
      <c r="AQ93" s="20" t="s">
        <v>135</v>
      </c>
      <c r="AR93" s="20" t="s">
        <v>136</v>
      </c>
      <c r="AS93" s="20" t="s">
        <v>137</v>
      </c>
      <c r="AT93" s="21" t="s">
        <v>59</v>
      </c>
      <c r="AU93" s="22" t="s">
        <v>66</v>
      </c>
      <c r="AV93" s="15"/>
      <c r="AW93" s="15"/>
      <c r="AX93" s="15"/>
      <c r="AY93" s="147">
        <v>6729.4128681396896</v>
      </c>
      <c r="AZ93" s="125">
        <v>2.1042090750440424E-2</v>
      </c>
      <c r="BB93" s="136">
        <v>6729.4128681396896</v>
      </c>
      <c r="BC93" s="131">
        <v>0.31075731794639422</v>
      </c>
      <c r="BE93" s="136">
        <v>6729.4128681396896</v>
      </c>
      <c r="BF93" s="18">
        <v>21.288592626209475</v>
      </c>
    </row>
    <row r="94" spans="1:71" ht="14.5" x14ac:dyDescent="0.35">
      <c r="A94" s="7">
        <v>93</v>
      </c>
      <c r="B94" s="16" t="s">
        <v>28</v>
      </c>
      <c r="C94" s="132"/>
      <c r="D94" s="132">
        <v>2.8435107141223801</v>
      </c>
      <c r="E94" s="132">
        <v>1.9049133998901</v>
      </c>
      <c r="F94" s="133">
        <v>3.78210802835466</v>
      </c>
      <c r="G94" s="23">
        <v>1.6453984460426101</v>
      </c>
      <c r="H94" s="132">
        <v>1.3930649025085999</v>
      </c>
      <c r="I94" s="134">
        <v>2.8435107141223801</v>
      </c>
      <c r="J94" s="135">
        <v>19319064</v>
      </c>
      <c r="K94" s="134">
        <v>2023</v>
      </c>
      <c r="L94" s="136">
        <v>13149325362.3347</v>
      </c>
      <c r="M94" s="132">
        <v>2023</v>
      </c>
      <c r="N94" s="136">
        <v>680.63987791202896</v>
      </c>
      <c r="O94" s="133">
        <v>2023</v>
      </c>
      <c r="P94" s="136">
        <v>12999923870.1574</v>
      </c>
      <c r="Q94" s="132">
        <v>2023</v>
      </c>
      <c r="R94" s="132">
        <v>670</v>
      </c>
      <c r="S94" s="134">
        <v>2023</v>
      </c>
      <c r="T94" s="17">
        <v>37.4</v>
      </c>
      <c r="U94" s="133">
        <v>2022</v>
      </c>
      <c r="V94" s="23">
        <v>10.8363568399842</v>
      </c>
      <c r="W94" s="134">
        <v>2023</v>
      </c>
      <c r="X94" s="141">
        <v>1.36978125</v>
      </c>
      <c r="Y94" s="142">
        <v>2018</v>
      </c>
      <c r="Z94" s="135">
        <f t="shared" ref="Z94:AB94" si="111">(AJ94*40)* 48</f>
        <v>610321111.38427639</v>
      </c>
      <c r="AA94" s="135">
        <f t="shared" si="111"/>
        <v>516724032.14817417</v>
      </c>
      <c r="AB94" s="138">
        <f t="shared" si="111"/>
        <v>1127045143.5324507</v>
      </c>
      <c r="AC94" s="18">
        <f t="shared" si="1"/>
        <v>26.746846128165121</v>
      </c>
      <c r="AD94" s="120">
        <f t="shared" si="2"/>
        <v>836006414.85334337</v>
      </c>
      <c r="AE94" s="121">
        <f t="shared" si="3"/>
        <v>707798890.66096616</v>
      </c>
      <c r="AF94" s="122">
        <f t="shared" si="4"/>
        <v>1543805305.5143094</v>
      </c>
      <c r="AG94" s="123">
        <f t="shared" si="5"/>
        <v>6.357789406048342E-2</v>
      </c>
      <c r="AH94" s="124">
        <f t="shared" si="6"/>
        <v>5.3827772236011845E-2</v>
      </c>
      <c r="AI94" s="125">
        <f t="shared" si="7"/>
        <v>0.11740566629649526</v>
      </c>
      <c r="AJ94" s="139">
        <v>317875.57884597732</v>
      </c>
      <c r="AK94" s="140">
        <v>269127.10007717402</v>
      </c>
      <c r="AL94" s="140">
        <f t="shared" si="8"/>
        <v>587002.67892315134</v>
      </c>
      <c r="AM94" s="148">
        <f t="shared" si="109"/>
        <v>0.54152321660459179</v>
      </c>
      <c r="AN94" s="129">
        <f t="shared" si="9"/>
        <v>0.54152321660459179</v>
      </c>
      <c r="AO94" s="130">
        <f t="shared" si="10"/>
        <v>0.45847678339540821</v>
      </c>
      <c r="AP94" s="19" t="s">
        <v>10</v>
      </c>
      <c r="AQ94" s="20" t="s">
        <v>29</v>
      </c>
      <c r="AR94" s="20" t="s">
        <v>30</v>
      </c>
      <c r="AS94" s="20" t="s">
        <v>31</v>
      </c>
      <c r="AT94" s="21" t="s">
        <v>12</v>
      </c>
      <c r="AU94" s="22" t="s">
        <v>13</v>
      </c>
      <c r="AV94" s="15"/>
      <c r="AW94" s="15"/>
      <c r="AX94" s="15"/>
      <c r="AY94" s="147">
        <v>4455.50540514568</v>
      </c>
      <c r="AZ94" s="125">
        <v>6.7019913489622815E-2</v>
      </c>
      <c r="BA94" s="15"/>
      <c r="BB94" s="136">
        <v>4455.50540514568</v>
      </c>
      <c r="BC94" s="131">
        <v>0.3582646732749904</v>
      </c>
      <c r="BD94" s="15"/>
      <c r="BE94" s="136">
        <v>4455.50540514568</v>
      </c>
      <c r="BF94" s="18">
        <v>42.118326584359686</v>
      </c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</row>
    <row r="95" spans="1:71" ht="14.5" x14ac:dyDescent="0.35">
      <c r="A95" s="7">
        <v>94</v>
      </c>
      <c r="B95" s="23" t="s">
        <v>101</v>
      </c>
      <c r="C95" s="132"/>
      <c r="D95" s="132">
        <v>2.8139460142510799</v>
      </c>
      <c r="E95" s="132">
        <v>1.9603681477625099</v>
      </c>
      <c r="F95" s="133">
        <v>3.6675238807396502</v>
      </c>
      <c r="G95" s="23">
        <v>1.7267567209697099</v>
      </c>
      <c r="H95" s="132">
        <v>1.18864028760048</v>
      </c>
      <c r="I95" s="134">
        <v>2.8139460142510799</v>
      </c>
      <c r="J95" s="135">
        <v>31165654</v>
      </c>
      <c r="K95" s="134">
        <v>2023</v>
      </c>
      <c r="L95" s="136">
        <v>78875489245.053802</v>
      </c>
      <c r="M95" s="132">
        <v>2023</v>
      </c>
      <c r="N95" s="136">
        <v>2530.8465930172301</v>
      </c>
      <c r="O95" s="133">
        <v>2023</v>
      </c>
      <c r="P95" s="136">
        <v>76938116005.607803</v>
      </c>
      <c r="Q95" s="132">
        <v>2023</v>
      </c>
      <c r="R95" s="132">
        <v>2470</v>
      </c>
      <c r="S95" s="134">
        <v>2023</v>
      </c>
      <c r="T95" s="17">
        <v>35.299999999999997</v>
      </c>
      <c r="U95" s="133">
        <v>2021</v>
      </c>
      <c r="V95" s="23">
        <v>4.3871170700327902</v>
      </c>
      <c r="W95" s="134">
        <v>2023</v>
      </c>
      <c r="X95" s="137">
        <v>1.786</v>
      </c>
      <c r="Y95" s="133">
        <v>2019</v>
      </c>
      <c r="Z95" s="135">
        <f t="shared" ref="Z95:AB95" si="112">(AJ95*40)* 48</f>
        <v>1033257648.1519972</v>
      </c>
      <c r="AA95" s="135">
        <f t="shared" si="112"/>
        <v>711259237.12928736</v>
      </c>
      <c r="AB95" s="138">
        <f t="shared" si="112"/>
        <v>1744516885.2812843</v>
      </c>
      <c r="AC95" s="18">
        <f t="shared" si="1"/>
        <v>22.821893521929216</v>
      </c>
      <c r="AD95" s="120">
        <f t="shared" si="2"/>
        <v>1845398159.599467</v>
      </c>
      <c r="AE95" s="121">
        <f t="shared" si="3"/>
        <v>1270308997.5129073</v>
      </c>
      <c r="AF95" s="122">
        <f t="shared" si="4"/>
        <v>3115707157.1123743</v>
      </c>
      <c r="AG95" s="123">
        <f t="shared" si="5"/>
        <v>2.3396345014939986E-2</v>
      </c>
      <c r="AH95" s="124">
        <f t="shared" si="6"/>
        <v>1.6105243969596891E-2</v>
      </c>
      <c r="AI95" s="125">
        <f t="shared" si="7"/>
        <v>3.9501588984536873E-2</v>
      </c>
      <c r="AJ95" s="139">
        <v>538155.02507916524</v>
      </c>
      <c r="AK95" s="140">
        <v>370447.51933817047</v>
      </c>
      <c r="AL95" s="140">
        <f t="shared" si="8"/>
        <v>908602.54441733565</v>
      </c>
      <c r="AM95" s="123">
        <f t="shared" ref="AM95:AM97" si="113">AE95/(AD95+AE95)</f>
        <v>0.40771129424442598</v>
      </c>
      <c r="AN95" s="129">
        <f t="shared" si="9"/>
        <v>0.59228870575557402</v>
      </c>
      <c r="AO95" s="130">
        <f t="shared" si="10"/>
        <v>0.40771129424442598</v>
      </c>
      <c r="AP95" s="19" t="s">
        <v>10</v>
      </c>
      <c r="AQ95" s="20" t="s">
        <v>102</v>
      </c>
      <c r="AR95" s="20" t="s">
        <v>103</v>
      </c>
      <c r="AS95" s="20" t="s">
        <v>104</v>
      </c>
      <c r="AT95" s="21" t="s">
        <v>59</v>
      </c>
      <c r="AU95" s="22" t="s">
        <v>13</v>
      </c>
      <c r="AV95" s="15"/>
      <c r="AW95" s="15"/>
      <c r="AX95" s="15"/>
      <c r="AY95" s="147">
        <v>10717.6276712204</v>
      </c>
      <c r="AZ95" s="125">
        <v>2.7005975719799645E-2</v>
      </c>
      <c r="BA95" s="15"/>
      <c r="BB95" s="136">
        <v>10717.6276712204</v>
      </c>
      <c r="BC95" s="131">
        <v>0.33066086904457909</v>
      </c>
      <c r="BD95" s="15"/>
      <c r="BE95" s="136">
        <v>10717.6276712204</v>
      </c>
      <c r="BF95" s="18">
        <v>35.044481695403917</v>
      </c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</row>
    <row r="96" spans="1:71" ht="14.5" x14ac:dyDescent="0.35">
      <c r="A96" s="7">
        <v>95</v>
      </c>
      <c r="B96" s="23" t="s">
        <v>34</v>
      </c>
      <c r="C96" s="132"/>
      <c r="D96" s="132">
        <v>3.9994325394763299</v>
      </c>
      <c r="E96" s="132">
        <v>3.1976582824139301</v>
      </c>
      <c r="F96" s="133">
        <v>4.8012067965387297</v>
      </c>
      <c r="G96" s="23">
        <v>2.57515809337503</v>
      </c>
      <c r="H96" s="132">
        <v>1.4126854767067001</v>
      </c>
      <c r="I96" s="134">
        <v>3.9994325394763299</v>
      </c>
      <c r="J96" s="135">
        <v>2697845</v>
      </c>
      <c r="K96" s="134">
        <v>2023</v>
      </c>
      <c r="L96" s="136">
        <v>2396111021.64149</v>
      </c>
      <c r="M96" s="132">
        <v>2023</v>
      </c>
      <c r="N96" s="136">
        <v>888.157407724123</v>
      </c>
      <c r="O96" s="133">
        <v>2023</v>
      </c>
      <c r="P96" s="136">
        <v>2334485850.4313698</v>
      </c>
      <c r="Q96" s="132">
        <v>2023</v>
      </c>
      <c r="R96" s="132">
        <v>870</v>
      </c>
      <c r="S96" s="134">
        <v>2023</v>
      </c>
      <c r="T96" s="17">
        <v>38.799999999999997</v>
      </c>
      <c r="U96" s="133">
        <v>2020</v>
      </c>
      <c r="V96" s="23">
        <v>16.974212963232699</v>
      </c>
      <c r="W96" s="134">
        <v>2023</v>
      </c>
      <c r="X96" s="137">
        <v>0.48299999999999998</v>
      </c>
      <c r="Y96" s="133">
        <v>2018</v>
      </c>
      <c r="Z96" s="135">
        <f t="shared" ref="Z96:AB96" si="114">(AJ96*40)* 48</f>
        <v>133389645.81929009</v>
      </c>
      <c r="AA96" s="135">
        <f t="shared" si="114"/>
        <v>73175163.838191122</v>
      </c>
      <c r="AB96" s="138">
        <f t="shared" si="114"/>
        <v>206564809.65748119</v>
      </c>
      <c r="AC96" s="18">
        <f t="shared" si="1"/>
        <v>27.123561152768644</v>
      </c>
      <c r="AD96" s="120">
        <f t="shared" si="2"/>
        <v>64427198.930717111</v>
      </c>
      <c r="AE96" s="121">
        <f t="shared" si="3"/>
        <v>35343604.133846313</v>
      </c>
      <c r="AF96" s="122">
        <f t="shared" si="4"/>
        <v>99770803.064563423</v>
      </c>
      <c r="AG96" s="123">
        <f t="shared" si="5"/>
        <v>2.6888236124626787E-2</v>
      </c>
      <c r="AH96" s="124">
        <f t="shared" si="6"/>
        <v>1.4750403388918797E-2</v>
      </c>
      <c r="AI96" s="125">
        <f t="shared" si="7"/>
        <v>4.1638639513545586E-2</v>
      </c>
      <c r="AJ96" s="139">
        <v>69473.773864213581</v>
      </c>
      <c r="AK96" s="140">
        <v>38112.064499057873</v>
      </c>
      <c r="AL96" s="140">
        <f t="shared" si="8"/>
        <v>107585.83836327145</v>
      </c>
      <c r="AM96" s="123">
        <f t="shared" si="113"/>
        <v>0.35424796682226617</v>
      </c>
      <c r="AN96" s="129">
        <f t="shared" si="9"/>
        <v>0.64575203317773389</v>
      </c>
      <c r="AO96" s="130">
        <f t="shared" si="10"/>
        <v>0.35424796682226611</v>
      </c>
      <c r="AP96" s="19" t="s">
        <v>10</v>
      </c>
      <c r="AQ96" s="20" t="s">
        <v>35</v>
      </c>
      <c r="AR96" s="20" t="s">
        <v>36</v>
      </c>
      <c r="AS96" s="20" t="s">
        <v>37</v>
      </c>
      <c r="AT96" s="21" t="s">
        <v>12</v>
      </c>
      <c r="AU96" s="22" t="s">
        <v>13</v>
      </c>
      <c r="AV96" s="15"/>
      <c r="AW96" s="15"/>
      <c r="AX96" s="15"/>
      <c r="AY96" s="147">
        <v>888.157407724123</v>
      </c>
      <c r="AZ96" s="125">
        <v>4.1638639513545586E-2</v>
      </c>
      <c r="BA96" s="15"/>
      <c r="BB96" s="136">
        <v>888.157407724123</v>
      </c>
      <c r="BC96" s="131">
        <v>0.35424796682226617</v>
      </c>
      <c r="BD96" s="15"/>
      <c r="BE96" s="136">
        <v>888.157407724123</v>
      </c>
      <c r="BF96" s="18">
        <v>27.123561152768644</v>
      </c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</row>
    <row r="97" spans="1:71" ht="14.5" x14ac:dyDescent="0.35">
      <c r="A97" s="7">
        <v>96</v>
      </c>
      <c r="B97" s="23" t="s">
        <v>138</v>
      </c>
      <c r="C97" s="132"/>
      <c r="D97" s="132">
        <v>2.7302696726399098</v>
      </c>
      <c r="E97" s="132">
        <v>1.9299453232699999</v>
      </c>
      <c r="F97" s="133">
        <v>3.5305940220098302</v>
      </c>
      <c r="G97" s="23">
        <v>1.6995564117437001</v>
      </c>
      <c r="H97" s="132">
        <v>1.0421880543601001</v>
      </c>
      <c r="I97" s="134">
        <v>2.7302696726399098</v>
      </c>
      <c r="J97" s="135">
        <v>33787914</v>
      </c>
      <c r="K97" s="134">
        <v>2023</v>
      </c>
      <c r="L97" s="136">
        <v>76370396722.154007</v>
      </c>
      <c r="M97" s="132">
        <v>2023</v>
      </c>
      <c r="N97" s="136">
        <v>2260.2874128942699</v>
      </c>
      <c r="O97" s="133">
        <v>2023</v>
      </c>
      <c r="P97" s="136">
        <v>79823496732.604095</v>
      </c>
      <c r="Q97" s="132">
        <v>2023</v>
      </c>
      <c r="R97" s="132">
        <v>2360</v>
      </c>
      <c r="S97" s="134">
        <v>2023</v>
      </c>
      <c r="T97" s="17">
        <v>43.5</v>
      </c>
      <c r="U97" s="133">
        <v>2016</v>
      </c>
      <c r="V97" s="23">
        <v>38.106965629650098</v>
      </c>
      <c r="W97" s="134">
        <v>2023</v>
      </c>
      <c r="X97" s="137">
        <v>1.623</v>
      </c>
      <c r="Y97" s="133">
        <v>2022</v>
      </c>
      <c r="Z97" s="135">
        <f t="shared" ref="Z97:AB97" si="115">(AJ97*40)* 48</f>
        <v>1102549744.860379</v>
      </c>
      <c r="AA97" s="135">
        <f t="shared" si="115"/>
        <v>676096518.76889038</v>
      </c>
      <c r="AB97" s="138">
        <f t="shared" si="115"/>
        <v>1778646263.6292694</v>
      </c>
      <c r="AC97" s="18">
        <f t="shared" si="1"/>
        <v>20.010010643713915</v>
      </c>
      <c r="AD97" s="120">
        <f t="shared" si="2"/>
        <v>1789438235.9083951</v>
      </c>
      <c r="AE97" s="121">
        <f t="shared" si="3"/>
        <v>1097304649.9619091</v>
      </c>
      <c r="AF97" s="122">
        <f t="shared" si="4"/>
        <v>2886742885.8703041</v>
      </c>
      <c r="AG97" s="123">
        <f t="shared" si="5"/>
        <v>2.3431045440533944E-2</v>
      </c>
      <c r="AH97" s="124">
        <f t="shared" si="6"/>
        <v>1.4368193659567517E-2</v>
      </c>
      <c r="AI97" s="125">
        <f t="shared" si="7"/>
        <v>3.779923910010146E-2</v>
      </c>
      <c r="AJ97" s="139">
        <v>574244.65878144733</v>
      </c>
      <c r="AK97" s="140">
        <v>352133.60352546378</v>
      </c>
      <c r="AL97" s="140">
        <f t="shared" si="8"/>
        <v>926378.26230691117</v>
      </c>
      <c r="AM97" s="123">
        <f t="shared" si="113"/>
        <v>0.38011859502031481</v>
      </c>
      <c r="AN97" s="129">
        <f t="shared" si="9"/>
        <v>0.61988140497968502</v>
      </c>
      <c r="AO97" s="130">
        <f t="shared" si="10"/>
        <v>0.38011859502031486</v>
      </c>
      <c r="AP97" s="19" t="s">
        <v>10</v>
      </c>
      <c r="AQ97" s="20" t="s">
        <v>139</v>
      </c>
      <c r="AR97" s="20" t="s">
        <v>140</v>
      </c>
      <c r="AS97" s="20" t="s">
        <v>141</v>
      </c>
      <c r="AT97" s="21" t="s">
        <v>59</v>
      </c>
      <c r="AU97" s="22" t="s">
        <v>13</v>
      </c>
      <c r="AV97" s="15"/>
      <c r="AW97" s="15"/>
      <c r="AX97" s="15"/>
      <c r="AY97" s="147">
        <v>21865.4562838641</v>
      </c>
      <c r="AZ97" s="125">
        <v>3.1502816762991916E-2</v>
      </c>
      <c r="BA97" s="15"/>
      <c r="BB97" s="136">
        <v>21865.4562838641</v>
      </c>
      <c r="BC97" s="131">
        <v>0.30908158981512202</v>
      </c>
      <c r="BD97" s="15"/>
      <c r="BE97" s="136">
        <v>21865.4562838641</v>
      </c>
      <c r="BF97" s="18">
        <v>28.387020129154564</v>
      </c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</row>
    <row r="98" spans="1:71" ht="14.5" x14ac:dyDescent="0.35">
      <c r="A98" s="7">
        <v>97</v>
      </c>
      <c r="B98" s="16" t="s">
        <v>14</v>
      </c>
      <c r="C98" s="132"/>
      <c r="D98" s="132">
        <v>3.5647722487008902</v>
      </c>
      <c r="E98" s="132">
        <v>2.8064232945933401</v>
      </c>
      <c r="F98" s="133">
        <v>4.3231212028084398</v>
      </c>
      <c r="G98" s="23">
        <v>2.1353275619015202</v>
      </c>
      <c r="H98" s="132">
        <v>1.3791504309043501</v>
      </c>
      <c r="I98" s="134">
        <v>3.5647722487008902</v>
      </c>
      <c r="J98" s="135">
        <v>2153339</v>
      </c>
      <c r="K98" s="134">
        <v>2023</v>
      </c>
      <c r="L98" s="136">
        <v>2048348108.35852</v>
      </c>
      <c r="M98" s="132">
        <v>2023</v>
      </c>
      <c r="N98" s="136">
        <v>951.24274828929401</v>
      </c>
      <c r="O98" s="133">
        <v>2023</v>
      </c>
      <c r="P98" s="136">
        <v>2033194308.1178601</v>
      </c>
      <c r="Q98" s="132">
        <v>2023</v>
      </c>
      <c r="R98" s="132">
        <v>940</v>
      </c>
      <c r="S98" s="134">
        <v>2023</v>
      </c>
      <c r="T98" s="17">
        <v>33.4</v>
      </c>
      <c r="U98" s="133">
        <v>2021</v>
      </c>
      <c r="V98" s="23">
        <v>9.3938387745659107</v>
      </c>
      <c r="W98" s="134">
        <v>2022</v>
      </c>
      <c r="X98" s="141">
        <v>0.88114999999999999</v>
      </c>
      <c r="Y98" s="142">
        <v>2022</v>
      </c>
      <c r="Z98" s="135">
        <f t="shared" ref="Z98:AB98" si="116">(AJ98*40)* 48</f>
        <v>88283215.042895198</v>
      </c>
      <c r="AA98" s="135">
        <f t="shared" si="116"/>
        <v>57019745.466876328</v>
      </c>
      <c r="AB98" s="138">
        <f t="shared" si="116"/>
        <v>145302960.5097715</v>
      </c>
      <c r="AC98" s="18">
        <f t="shared" si="1"/>
        <v>26.479688273363518</v>
      </c>
      <c r="AD98" s="120">
        <f t="shared" si="2"/>
        <v>77790754.935047105</v>
      </c>
      <c r="AE98" s="121">
        <f t="shared" si="3"/>
        <v>50242948.718138076</v>
      </c>
      <c r="AF98" s="122">
        <f t="shared" si="4"/>
        <v>128033703.65318519</v>
      </c>
      <c r="AG98" s="123">
        <f t="shared" si="5"/>
        <v>3.7977311872729534E-2</v>
      </c>
      <c r="AH98" s="124">
        <f t="shared" si="6"/>
        <v>2.4528520573781354E-2</v>
      </c>
      <c r="AI98" s="125">
        <f t="shared" si="7"/>
        <v>6.2505832446510895E-2</v>
      </c>
      <c r="AJ98" s="139">
        <v>45980.841168174578</v>
      </c>
      <c r="AK98" s="140">
        <v>29697.78409733142</v>
      </c>
      <c r="AL98" s="140">
        <f t="shared" si="8"/>
        <v>75678.625265505994</v>
      </c>
      <c r="AM98" s="148">
        <f>AJ98/AL98</f>
        <v>0.60758029109089084</v>
      </c>
      <c r="AN98" s="129">
        <f t="shared" si="9"/>
        <v>0.60758029109089084</v>
      </c>
      <c r="AO98" s="130">
        <f t="shared" si="10"/>
        <v>0.39241970890910921</v>
      </c>
      <c r="AP98" s="19" t="s">
        <v>10</v>
      </c>
      <c r="AQ98" s="20" t="s">
        <v>15</v>
      </c>
      <c r="AR98" s="20" t="s">
        <v>16</v>
      </c>
      <c r="AS98" s="20" t="s">
        <v>17</v>
      </c>
      <c r="AT98" s="21" t="s">
        <v>12</v>
      </c>
      <c r="AU98" s="22" t="s">
        <v>13</v>
      </c>
      <c r="AV98" s="15"/>
      <c r="AW98" s="15"/>
      <c r="AX98" s="15"/>
      <c r="AY98" s="147">
        <v>8575.1711344621308</v>
      </c>
      <c r="AZ98" s="125">
        <v>1.5944780905837813E-2</v>
      </c>
      <c r="BA98" s="15"/>
      <c r="BB98" s="136">
        <v>8575.1711344621308</v>
      </c>
      <c r="BC98" s="131">
        <v>0.37600866647902986</v>
      </c>
      <c r="BD98" s="15"/>
      <c r="BE98" s="136">
        <v>8575.1711344621308</v>
      </c>
      <c r="BF98" s="18">
        <v>19.041249462714411</v>
      </c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</row>
    <row r="99" spans="1:71" ht="14.5" x14ac:dyDescent="0.35">
      <c r="A99" s="7">
        <v>98</v>
      </c>
      <c r="B99" s="23" t="s">
        <v>114</v>
      </c>
      <c r="C99" s="132">
        <v>2.1848826926078102</v>
      </c>
      <c r="D99" s="132">
        <v>2.3016958677648902</v>
      </c>
      <c r="E99" s="132">
        <v>1.5000128368007399</v>
      </c>
      <c r="F99" s="133">
        <v>3.1033788987290398</v>
      </c>
      <c r="G99" s="23">
        <v>1.3523457449538501</v>
      </c>
      <c r="H99" s="132">
        <v>1.0201581830415201</v>
      </c>
      <c r="I99" s="134">
        <v>2.1848826926078102</v>
      </c>
      <c r="J99" s="135">
        <v>55339003</v>
      </c>
      <c r="K99" s="134">
        <v>2023</v>
      </c>
      <c r="L99" s="136">
        <v>108038588970.595</v>
      </c>
      <c r="M99" s="132">
        <v>2023</v>
      </c>
      <c r="N99" s="136">
        <v>1952.3045792963601</v>
      </c>
      <c r="O99" s="133">
        <v>2023</v>
      </c>
      <c r="P99" s="136">
        <v>116961158793.37</v>
      </c>
      <c r="Q99" s="132">
        <v>2023</v>
      </c>
      <c r="R99" s="132">
        <v>2110</v>
      </c>
      <c r="S99" s="134">
        <v>2023</v>
      </c>
      <c r="T99" s="17">
        <v>38.700000000000003</v>
      </c>
      <c r="U99" s="133">
        <v>2021</v>
      </c>
      <c r="V99" s="23">
        <v>7.6713963402940202</v>
      </c>
      <c r="W99" s="134">
        <v>2023</v>
      </c>
      <c r="X99" s="137">
        <v>0.98099999999999998</v>
      </c>
      <c r="Y99" s="133">
        <v>2019</v>
      </c>
      <c r="Z99" s="135">
        <f t="shared" ref="Z99:AB99" si="117">(AJ99*40)* 48</f>
        <v>1436879332.5511363</v>
      </c>
      <c r="AA99" s="135">
        <f t="shared" si="117"/>
        <v>1083927105.6347373</v>
      </c>
      <c r="AB99" s="138">
        <f t="shared" si="117"/>
        <v>2520806438.1858735</v>
      </c>
      <c r="AC99" s="18">
        <f t="shared" si="1"/>
        <v>19.587037114397187</v>
      </c>
      <c r="AD99" s="120">
        <f t="shared" si="2"/>
        <v>1409578625.2326646</v>
      </c>
      <c r="AE99" s="121">
        <f t="shared" si="3"/>
        <v>1063332490.6276772</v>
      </c>
      <c r="AF99" s="122">
        <f t="shared" si="4"/>
        <v>2472911115.860342</v>
      </c>
      <c r="AG99" s="123">
        <f t="shared" si="5"/>
        <v>1.3046992178103246E-2</v>
      </c>
      <c r="AH99" s="124">
        <f t="shared" si="6"/>
        <v>9.8421545556938526E-3</v>
      </c>
      <c r="AI99" s="125">
        <f t="shared" si="7"/>
        <v>2.2889146733797099E-2</v>
      </c>
      <c r="AJ99" s="139">
        <v>748374.6523703835</v>
      </c>
      <c r="AK99" s="140">
        <v>564545.36751809227</v>
      </c>
      <c r="AL99" s="140">
        <f t="shared" si="8"/>
        <v>1312920.0198884758</v>
      </c>
      <c r="AM99" s="123">
        <f t="shared" ref="AM99:AM105" si="118">AE99/(AD99+AE99)</f>
        <v>0.42999219980364595</v>
      </c>
      <c r="AN99" s="129">
        <f t="shared" si="9"/>
        <v>0.57000780019635411</v>
      </c>
      <c r="AO99" s="130">
        <f t="shared" si="10"/>
        <v>0.42999219980364595</v>
      </c>
      <c r="AP99" s="19" t="s">
        <v>10</v>
      </c>
      <c r="AQ99" s="20" t="s">
        <v>115</v>
      </c>
      <c r="AR99" s="20" t="s">
        <v>116</v>
      </c>
      <c r="AS99" s="20" t="s">
        <v>117</v>
      </c>
      <c r="AT99" s="21" t="s">
        <v>59</v>
      </c>
      <c r="AU99" s="22" t="s">
        <v>66</v>
      </c>
      <c r="AV99" s="15"/>
      <c r="AW99" s="15"/>
      <c r="AX99" s="15"/>
      <c r="AY99" s="147">
        <v>32610.110922729</v>
      </c>
      <c r="AZ99" s="125">
        <v>4.3156415051037636E-2</v>
      </c>
      <c r="BA99" s="15"/>
      <c r="BB99" s="136">
        <v>32610.110922729</v>
      </c>
      <c r="BC99" s="131">
        <v>0.25736048025698299</v>
      </c>
      <c r="BD99" s="15"/>
      <c r="BE99" s="136">
        <v>32610.110922729</v>
      </c>
      <c r="BF99" s="18">
        <v>30.694282668598646</v>
      </c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</row>
    <row r="100" spans="1:71" ht="14.5" x14ac:dyDescent="0.35">
      <c r="A100" s="7">
        <v>99</v>
      </c>
      <c r="B100" s="23" t="s">
        <v>142</v>
      </c>
      <c r="C100" s="132"/>
      <c r="D100" s="132">
        <v>2.86096999564682</v>
      </c>
      <c r="E100" s="132">
        <v>2.0087431273927598</v>
      </c>
      <c r="F100" s="133">
        <v>3.7131968639008699</v>
      </c>
      <c r="G100" s="23">
        <v>1.78090519677279</v>
      </c>
      <c r="H100" s="132">
        <v>0.961374464948475</v>
      </c>
      <c r="I100" s="134">
        <v>2.86096999564682</v>
      </c>
      <c r="J100" s="135">
        <v>2311472</v>
      </c>
      <c r="K100" s="134">
        <v>2023</v>
      </c>
      <c r="L100" s="136">
        <v>2117962450.7946899</v>
      </c>
      <c r="M100" s="132">
        <v>2023</v>
      </c>
      <c r="N100" s="136">
        <v>916.28297932862199</v>
      </c>
      <c r="O100" s="133">
        <v>2023</v>
      </c>
      <c r="P100" s="136">
        <v>2897894309.4999599</v>
      </c>
      <c r="Q100" s="132">
        <v>2023</v>
      </c>
      <c r="R100" s="132">
        <v>1250</v>
      </c>
      <c r="S100" s="134">
        <v>2023</v>
      </c>
      <c r="T100" s="17">
        <v>44.9</v>
      </c>
      <c r="U100" s="133">
        <v>2017</v>
      </c>
      <c r="V100" s="23">
        <v>6.3422174312495301</v>
      </c>
      <c r="W100" s="134">
        <v>2023</v>
      </c>
      <c r="X100" s="137">
        <v>1.39</v>
      </c>
      <c r="Y100" s="133">
        <v>2019</v>
      </c>
      <c r="Z100" s="135">
        <f t="shared" ref="Z100:AB100" si="119">(AJ100*40)* 48</f>
        <v>79037039.942300037</v>
      </c>
      <c r="AA100" s="135">
        <f t="shared" si="119"/>
        <v>42666051.019072913</v>
      </c>
      <c r="AB100" s="138">
        <f t="shared" si="119"/>
        <v>121703090.96137294</v>
      </c>
      <c r="AC100" s="18">
        <f t="shared" si="1"/>
        <v>18.458389727010715</v>
      </c>
      <c r="AD100" s="120">
        <f t="shared" si="2"/>
        <v>109861485.51979704</v>
      </c>
      <c r="AE100" s="121">
        <f t="shared" si="3"/>
        <v>59305810.916511342</v>
      </c>
      <c r="AF100" s="122">
        <f t="shared" si="4"/>
        <v>169167296.43630838</v>
      </c>
      <c r="AG100" s="123">
        <f t="shared" si="5"/>
        <v>5.1871309370274926E-2</v>
      </c>
      <c r="AH100" s="124">
        <f t="shared" si="6"/>
        <v>2.8001351437679619E-2</v>
      </c>
      <c r="AI100" s="125">
        <f t="shared" si="7"/>
        <v>7.9872660807954549E-2</v>
      </c>
      <c r="AJ100" s="139">
        <v>41165.124969947938</v>
      </c>
      <c r="AK100" s="140">
        <v>22221.90157243381</v>
      </c>
      <c r="AL100" s="140">
        <f t="shared" si="8"/>
        <v>63387.026542381747</v>
      </c>
      <c r="AM100" s="123">
        <f t="shared" si="118"/>
        <v>0.35057491705460947</v>
      </c>
      <c r="AN100" s="148">
        <f t="shared" si="9"/>
        <v>0.64942508294539059</v>
      </c>
      <c r="AO100" s="130">
        <f t="shared" si="10"/>
        <v>0.35057491705460947</v>
      </c>
      <c r="AP100" s="19" t="s">
        <v>10</v>
      </c>
      <c r="AQ100" s="20" t="s">
        <v>143</v>
      </c>
      <c r="AR100" s="20">
        <v>27.716699999999999</v>
      </c>
      <c r="AS100" s="20">
        <v>-29.520800000000001</v>
      </c>
      <c r="AT100" s="21" t="s">
        <v>59</v>
      </c>
      <c r="AU100" s="22" t="s">
        <v>13</v>
      </c>
      <c r="AV100" s="15"/>
      <c r="AW100" s="15"/>
      <c r="AX100" s="15"/>
      <c r="AY100" s="147">
        <v>916.28297932862199</v>
      </c>
      <c r="AZ100" s="149">
        <v>7.9872660807954549E-2</v>
      </c>
      <c r="BB100" s="136">
        <v>916.28297932862199</v>
      </c>
      <c r="BC100" s="131">
        <v>0.35057491705460947</v>
      </c>
      <c r="BE100" s="136">
        <v>916.28297932862199</v>
      </c>
      <c r="BF100" s="18">
        <v>18.458389727010715</v>
      </c>
    </row>
    <row r="101" spans="1:71" ht="14.5" x14ac:dyDescent="0.35">
      <c r="A101" s="7">
        <v>100</v>
      </c>
      <c r="B101" s="23" t="s">
        <v>18</v>
      </c>
      <c r="C101" s="132"/>
      <c r="D101" s="132">
        <v>3.4446165674904701</v>
      </c>
      <c r="E101" s="132">
        <v>2.6357326795379401</v>
      </c>
      <c r="F101" s="133">
        <v>4.2535004554430103</v>
      </c>
      <c r="G101" s="23">
        <v>2.1819578188818798</v>
      </c>
      <c r="H101" s="132">
        <v>1.51639648764885</v>
      </c>
      <c r="I101" s="134">
        <v>3.4446165674904701</v>
      </c>
      <c r="J101" s="135">
        <v>5493031</v>
      </c>
      <c r="K101" s="134">
        <v>2023</v>
      </c>
      <c r="L101" s="136">
        <v>4240000000</v>
      </c>
      <c r="M101" s="132">
        <v>2023</v>
      </c>
      <c r="N101" s="136">
        <v>771.88714208967701</v>
      </c>
      <c r="O101" s="133">
        <v>2023</v>
      </c>
      <c r="P101" s="136">
        <v>3917869127.2946</v>
      </c>
      <c r="Q101" s="132">
        <v>2023</v>
      </c>
      <c r="R101" s="132">
        <v>710</v>
      </c>
      <c r="S101" s="134">
        <v>2023</v>
      </c>
      <c r="T101" s="17">
        <v>35.299999999999997</v>
      </c>
      <c r="U101" s="133">
        <v>2016</v>
      </c>
      <c r="V101" s="23">
        <v>10.094453566555201</v>
      </c>
      <c r="W101" s="134">
        <v>2023</v>
      </c>
      <c r="X101" s="141">
        <v>1.1000000000000001</v>
      </c>
      <c r="Y101" s="142">
        <v>2016</v>
      </c>
      <c r="Z101" s="135">
        <f t="shared" ref="Z101:AB101" si="120">(AJ101*40)* 48</f>
        <v>230122789.24436253</v>
      </c>
      <c r="AA101" s="135">
        <f t="shared" si="120"/>
        <v>159928567.966968</v>
      </c>
      <c r="AB101" s="138">
        <f t="shared" si="120"/>
        <v>390051357.21133053</v>
      </c>
      <c r="AC101" s="18">
        <f t="shared" si="1"/>
        <v>29.114812562857921</v>
      </c>
      <c r="AD101" s="120">
        <f t="shared" si="2"/>
        <v>253135068.1687988</v>
      </c>
      <c r="AE101" s="121">
        <f t="shared" si="3"/>
        <v>175921424.76366481</v>
      </c>
      <c r="AF101" s="122">
        <f t="shared" si="4"/>
        <v>429056492.93246365</v>
      </c>
      <c r="AG101" s="123">
        <f t="shared" si="5"/>
        <v>5.9701667020943115E-2</v>
      </c>
      <c r="AH101" s="124">
        <f t="shared" si="6"/>
        <v>4.1490902066902077E-2</v>
      </c>
      <c r="AI101" s="125">
        <f t="shared" si="7"/>
        <v>0.10119256908784519</v>
      </c>
      <c r="AJ101" s="139">
        <v>119855.6193981055</v>
      </c>
      <c r="AK101" s="140">
        <v>83296.129149462504</v>
      </c>
      <c r="AL101" s="140">
        <f t="shared" si="8"/>
        <v>203151.74854756799</v>
      </c>
      <c r="AM101" s="131">
        <f t="shared" si="118"/>
        <v>0.41001925774691872</v>
      </c>
      <c r="AN101" s="129">
        <f t="shared" si="9"/>
        <v>0.58998074225308128</v>
      </c>
      <c r="AO101" s="130">
        <f t="shared" si="10"/>
        <v>0.41001925774691872</v>
      </c>
      <c r="AP101" s="19" t="s">
        <v>10</v>
      </c>
      <c r="AQ101" s="20" t="s">
        <v>19</v>
      </c>
      <c r="AR101" s="20">
        <v>-10.7957</v>
      </c>
      <c r="AS101" s="20">
        <v>6.3003900000000002</v>
      </c>
      <c r="AT101" s="21" t="s">
        <v>12</v>
      </c>
      <c r="AU101" s="22" t="s">
        <v>13</v>
      </c>
      <c r="AV101" s="15"/>
      <c r="AW101" s="15"/>
      <c r="AX101" s="15"/>
      <c r="AY101" s="136">
        <v>8638.6662020118692</v>
      </c>
      <c r="AZ101" s="125">
        <v>3.1581322541192537E-2</v>
      </c>
      <c r="BA101" s="15"/>
      <c r="BB101" s="136">
        <v>8638.6662020118692</v>
      </c>
      <c r="BC101" s="131">
        <v>0.23665887480994438</v>
      </c>
      <c r="BD101" s="15"/>
      <c r="BE101" s="136">
        <v>8638.6662020118692</v>
      </c>
      <c r="BF101" s="18">
        <v>13.323440656052659</v>
      </c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</row>
    <row r="102" spans="1:71" ht="14.5" x14ac:dyDescent="0.35">
      <c r="A102" s="7">
        <v>101</v>
      </c>
      <c r="B102" s="23" t="s">
        <v>20</v>
      </c>
      <c r="C102" s="132"/>
      <c r="D102" s="132">
        <v>2.7708155785030502</v>
      </c>
      <c r="E102" s="132">
        <v>1.7839260437292199</v>
      </c>
      <c r="F102" s="133">
        <v>3.7577051132768702</v>
      </c>
      <c r="G102" s="23">
        <v>1.67625798656174</v>
      </c>
      <c r="H102" s="132">
        <v>1.2808018476215699</v>
      </c>
      <c r="I102" s="134">
        <v>2.7708155785030502</v>
      </c>
      <c r="J102" s="135">
        <v>23769127</v>
      </c>
      <c r="K102" s="134">
        <v>2023</v>
      </c>
      <c r="L102" s="136">
        <v>20661794596.087299</v>
      </c>
      <c r="M102" s="132">
        <v>2023</v>
      </c>
      <c r="N102" s="136">
        <v>869.27023428699204</v>
      </c>
      <c r="O102" s="133">
        <v>2023</v>
      </c>
      <c r="P102" s="136">
        <v>19892455678.444099</v>
      </c>
      <c r="Q102" s="132">
        <v>2023</v>
      </c>
      <c r="R102" s="132">
        <v>840</v>
      </c>
      <c r="S102" s="134">
        <v>2023</v>
      </c>
      <c r="T102" s="17">
        <v>35.700000000000003</v>
      </c>
      <c r="U102" s="133">
        <v>2021</v>
      </c>
      <c r="V102" s="23">
        <v>2.0588022827421399</v>
      </c>
      <c r="W102" s="134">
        <v>2023</v>
      </c>
      <c r="X102" s="137">
        <v>0.80200000000000005</v>
      </c>
      <c r="Y102" s="133">
        <v>2020</v>
      </c>
      <c r="Z102" s="135">
        <f t="shared" ref="Z102:AB102" si="121">(AJ102*40)* 48</f>
        <v>764989228.17312551</v>
      </c>
      <c r="AA102" s="135">
        <f t="shared" si="121"/>
        <v>584516002.13667345</v>
      </c>
      <c r="AB102" s="138">
        <f t="shared" si="121"/>
        <v>1349505230.309799</v>
      </c>
      <c r="AC102" s="18">
        <f t="shared" si="1"/>
        <v>24.591395474334142</v>
      </c>
      <c r="AD102" s="120">
        <f t="shared" si="2"/>
        <v>613521360.9948467</v>
      </c>
      <c r="AE102" s="121">
        <f t="shared" si="3"/>
        <v>468781833.71361214</v>
      </c>
      <c r="AF102" s="122">
        <f t="shared" si="4"/>
        <v>1082303194.7084589</v>
      </c>
      <c r="AG102" s="123">
        <f t="shared" si="5"/>
        <v>2.9693517576204562E-2</v>
      </c>
      <c r="AH102" s="124">
        <f t="shared" si="6"/>
        <v>2.268834062469989E-2</v>
      </c>
      <c r="AI102" s="125">
        <f t="shared" si="7"/>
        <v>5.2381858200904449E-2</v>
      </c>
      <c r="AJ102" s="139">
        <v>398431.88967350288</v>
      </c>
      <c r="AK102" s="140">
        <v>304435.41777951742</v>
      </c>
      <c r="AL102" s="140">
        <f t="shared" si="8"/>
        <v>702867.30745302024</v>
      </c>
      <c r="AM102" s="131">
        <f t="shared" si="118"/>
        <v>0.43313355814300114</v>
      </c>
      <c r="AN102" s="129">
        <f t="shared" si="9"/>
        <v>0.56686644185699897</v>
      </c>
      <c r="AO102" s="130">
        <f t="shared" si="10"/>
        <v>0.43313355814300114</v>
      </c>
      <c r="AP102" s="19" t="s">
        <v>10</v>
      </c>
      <c r="AQ102" s="20" t="s">
        <v>21</v>
      </c>
      <c r="AR102" s="20">
        <v>-7.5003399999999996</v>
      </c>
      <c r="AS102" s="20">
        <v>13.566700000000001</v>
      </c>
      <c r="AT102" s="21" t="s">
        <v>12</v>
      </c>
      <c r="AU102" s="22" t="s">
        <v>13</v>
      </c>
      <c r="AV102" s="15"/>
      <c r="AW102" s="15"/>
      <c r="AX102" s="15"/>
      <c r="AY102" s="136">
        <v>15885.5391311331</v>
      </c>
      <c r="AZ102" s="125">
        <v>1.1192793030384377E-2</v>
      </c>
      <c r="BA102" s="15"/>
      <c r="BB102" s="136">
        <v>15885.5391311331</v>
      </c>
      <c r="BC102" s="131">
        <v>0.25381324791380083</v>
      </c>
      <c r="BD102" s="15"/>
      <c r="BE102" s="136">
        <v>15885.5391311331</v>
      </c>
      <c r="BF102" s="18">
        <v>12.53580470560733</v>
      </c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</row>
    <row r="103" spans="1:71" ht="14.5" x14ac:dyDescent="0.35">
      <c r="A103" s="7">
        <v>102</v>
      </c>
      <c r="B103" s="23" t="s">
        <v>83</v>
      </c>
      <c r="C103" s="132"/>
      <c r="D103" s="132">
        <v>3.1274427259619202</v>
      </c>
      <c r="E103" s="132">
        <v>2.2934802412976798</v>
      </c>
      <c r="F103" s="133">
        <v>3.9614052106261499</v>
      </c>
      <c r="G103" s="23">
        <v>2.1656705618137702</v>
      </c>
      <c r="H103" s="132">
        <v>0.99205556354121405</v>
      </c>
      <c r="I103" s="134">
        <v>3.1274427259619202</v>
      </c>
      <c r="J103" s="135">
        <v>5022441</v>
      </c>
      <c r="K103" s="134">
        <v>2023</v>
      </c>
      <c r="L103" s="136">
        <v>10651709411.4594</v>
      </c>
      <c r="M103" s="132">
        <v>2023</v>
      </c>
      <c r="N103" s="136">
        <v>2120.8232035895298</v>
      </c>
      <c r="O103" s="133">
        <v>2023</v>
      </c>
      <c r="P103" s="136">
        <v>10690657303.943001</v>
      </c>
      <c r="Q103" s="132">
        <v>2023</v>
      </c>
      <c r="R103" s="132">
        <v>2130</v>
      </c>
      <c r="S103" s="134">
        <v>2023</v>
      </c>
      <c r="T103" s="17">
        <v>32</v>
      </c>
      <c r="U103" s="133">
        <v>2019</v>
      </c>
      <c r="V103" s="23">
        <v>4.9530503450687204</v>
      </c>
      <c r="W103" s="134">
        <v>2023</v>
      </c>
      <c r="X103" s="143">
        <v>3.3</v>
      </c>
      <c r="Y103" s="144">
        <v>2023</v>
      </c>
      <c r="Z103" s="135">
        <f t="shared" ref="Z103:AB103" si="122">(AJ103*40)* 48</f>
        <v>208837490.345213</v>
      </c>
      <c r="AA103" s="135">
        <f t="shared" si="122"/>
        <v>95664778.302863985</v>
      </c>
      <c r="AB103" s="138">
        <f t="shared" si="122"/>
        <v>304502268.64807695</v>
      </c>
      <c r="AC103" s="18">
        <f t="shared" si="1"/>
        <v>19.04746681999131</v>
      </c>
      <c r="AD103" s="120">
        <f t="shared" si="2"/>
        <v>689163718.13920283</v>
      </c>
      <c r="AE103" s="121">
        <f t="shared" si="3"/>
        <v>315693768.39945114</v>
      </c>
      <c r="AF103" s="122">
        <f t="shared" si="4"/>
        <v>1004857486.538654</v>
      </c>
      <c r="AG103" s="123">
        <f t="shared" si="5"/>
        <v>6.4699823429071546E-2</v>
      </c>
      <c r="AH103" s="124">
        <f t="shared" si="6"/>
        <v>2.9637850245878766E-2</v>
      </c>
      <c r="AI103" s="125">
        <f t="shared" si="7"/>
        <v>9.4337673674950315E-2</v>
      </c>
      <c r="AJ103" s="139">
        <v>108769.5262214651</v>
      </c>
      <c r="AK103" s="140">
        <v>49825.405366074992</v>
      </c>
      <c r="AL103" s="140">
        <f t="shared" si="8"/>
        <v>158594.93158754008</v>
      </c>
      <c r="AM103" s="131">
        <f t="shared" si="118"/>
        <v>0.3141677030111944</v>
      </c>
      <c r="AN103" s="129">
        <f t="shared" si="9"/>
        <v>0.68583229698880566</v>
      </c>
      <c r="AO103" s="130">
        <f t="shared" si="10"/>
        <v>0.31416770301119445</v>
      </c>
      <c r="AP103" s="19" t="s">
        <v>10</v>
      </c>
      <c r="AQ103" s="20" t="s">
        <v>84</v>
      </c>
      <c r="AR103" s="20">
        <v>-15.9824</v>
      </c>
      <c r="AS103" s="20">
        <v>18.236699999999999</v>
      </c>
      <c r="AT103" s="21" t="s">
        <v>59</v>
      </c>
      <c r="AU103" s="22" t="s">
        <v>13</v>
      </c>
      <c r="AV103" s="15"/>
      <c r="AW103" s="15"/>
      <c r="AX103" s="15"/>
      <c r="AY103" s="35"/>
      <c r="AZ103" s="125"/>
      <c r="BA103" s="15"/>
      <c r="BB103" s="136"/>
      <c r="BC103" s="131"/>
      <c r="BD103" s="15"/>
      <c r="BE103" s="136"/>
      <c r="BF103" s="18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</row>
    <row r="104" spans="1:71" ht="14.5" x14ac:dyDescent="0.35">
      <c r="A104" s="7">
        <v>103</v>
      </c>
      <c r="B104" s="23" t="s">
        <v>185</v>
      </c>
      <c r="C104" s="132"/>
      <c r="D104" s="132">
        <v>5.31304241685545</v>
      </c>
      <c r="E104" s="132">
        <v>4.0017692317795301</v>
      </c>
      <c r="F104" s="133">
        <v>6.62431560193136</v>
      </c>
      <c r="G104" s="23">
        <v>3.4435687136723998</v>
      </c>
      <c r="H104" s="132">
        <v>2.1609631467683701</v>
      </c>
      <c r="I104" s="134">
        <v>5.31304241685545</v>
      </c>
      <c r="J104" s="135">
        <v>1261041</v>
      </c>
      <c r="K104" s="134">
        <v>2023</v>
      </c>
      <c r="L104" s="136">
        <v>14644524819.0054</v>
      </c>
      <c r="M104" s="132">
        <v>2023</v>
      </c>
      <c r="N104" s="136">
        <v>11613.044158758799</v>
      </c>
      <c r="O104" s="133">
        <v>2023</v>
      </c>
      <c r="P104" s="136">
        <v>14614798552.781099</v>
      </c>
      <c r="Q104" s="132">
        <v>2023</v>
      </c>
      <c r="R104" s="132">
        <v>11590</v>
      </c>
      <c r="S104" s="134">
        <v>2023</v>
      </c>
      <c r="T104" s="17">
        <v>36.799999999999997</v>
      </c>
      <c r="U104" s="133">
        <v>2017</v>
      </c>
      <c r="V104" s="23">
        <v>7.0529823845474304</v>
      </c>
      <c r="W104" s="134">
        <v>2023</v>
      </c>
      <c r="X104" s="137">
        <v>3.2570000000000001</v>
      </c>
      <c r="Y104" s="133">
        <v>2023</v>
      </c>
      <c r="Z104" s="135">
        <f t="shared" ref="Z104:AB104" si="123">(AJ104*40)* 48</f>
        <v>83375641.617756605</v>
      </c>
      <c r="AA104" s="135">
        <f t="shared" si="123"/>
        <v>52321212.049227498</v>
      </c>
      <c r="AB104" s="138">
        <f t="shared" si="123"/>
        <v>135696853.66698411</v>
      </c>
      <c r="AC104" s="18">
        <f t="shared" si="1"/>
        <v>41.490492417952709</v>
      </c>
      <c r="AD104" s="120">
        <f t="shared" si="2"/>
        <v>271554464.74903327</v>
      </c>
      <c r="AE104" s="121">
        <f t="shared" si="3"/>
        <v>170410187.64433396</v>
      </c>
      <c r="AF104" s="122">
        <f t="shared" si="4"/>
        <v>441964652.39336723</v>
      </c>
      <c r="AG104" s="123">
        <f t="shared" si="5"/>
        <v>1.8543071086650403E-2</v>
      </c>
      <c r="AH104" s="124">
        <f t="shared" si="6"/>
        <v>1.163644363681768E-2</v>
      </c>
      <c r="AI104" s="125">
        <f t="shared" si="7"/>
        <v>3.0179514723468082E-2</v>
      </c>
      <c r="AJ104" s="139">
        <v>43424.813342581569</v>
      </c>
      <c r="AK104" s="140">
        <v>27250.63127563932</v>
      </c>
      <c r="AL104" s="140">
        <f t="shared" si="8"/>
        <v>70675.444618220892</v>
      </c>
      <c r="AM104" s="131">
        <f t="shared" si="118"/>
        <v>0.38557424608848961</v>
      </c>
      <c r="AN104" s="129">
        <f t="shared" si="9"/>
        <v>0.61442575391151033</v>
      </c>
      <c r="AO104" s="130">
        <f t="shared" si="10"/>
        <v>0.38557424608848961</v>
      </c>
      <c r="AP104" s="19" t="s">
        <v>10</v>
      </c>
      <c r="AQ104" s="20" t="s">
        <v>186</v>
      </c>
      <c r="AR104" s="20">
        <v>57.497700000000002</v>
      </c>
      <c r="AS104" s="20">
        <v>-20.160499999999999</v>
      </c>
      <c r="AT104" s="21" t="s">
        <v>152</v>
      </c>
      <c r="AU104" s="22" t="s">
        <v>60</v>
      </c>
      <c r="AV104" s="15"/>
      <c r="AW104" s="15"/>
      <c r="AX104" s="15"/>
      <c r="AY104" s="136">
        <v>5838.6310808390199</v>
      </c>
      <c r="AZ104" s="125">
        <v>2.4730562292078991E-2</v>
      </c>
      <c r="BB104" s="136">
        <v>5838.6310808390199</v>
      </c>
      <c r="BC104" s="131">
        <v>0.38695097455098987</v>
      </c>
      <c r="BE104" s="136">
        <v>5838.6310808390199</v>
      </c>
      <c r="BF104" s="18">
        <v>29.437760147088579</v>
      </c>
    </row>
    <row r="105" spans="1:71" ht="14.5" x14ac:dyDescent="0.35">
      <c r="A105" s="7">
        <v>104</v>
      </c>
      <c r="B105" s="23" t="s">
        <v>241</v>
      </c>
      <c r="C105" s="132"/>
      <c r="D105" s="132">
        <v>4.5370678377757896</v>
      </c>
      <c r="E105" s="132">
        <v>3.4837405032176898</v>
      </c>
      <c r="F105" s="133">
        <v>5.5903951723338796</v>
      </c>
      <c r="G105" s="23">
        <v>2.9631705156680499</v>
      </c>
      <c r="H105" s="132">
        <v>1.7643739707730199</v>
      </c>
      <c r="I105" s="134">
        <v>4.5370678377757896</v>
      </c>
      <c r="J105" s="135">
        <v>2963095</v>
      </c>
      <c r="K105" s="134">
        <v>2023</v>
      </c>
      <c r="L105" s="136">
        <v>12351025066.913099</v>
      </c>
      <c r="M105" s="132">
        <v>2023</v>
      </c>
      <c r="N105" s="136">
        <v>4168.2852108734696</v>
      </c>
      <c r="O105" s="133">
        <v>2023</v>
      </c>
      <c r="P105" s="136">
        <v>12676672048.205</v>
      </c>
      <c r="Q105" s="132">
        <v>2023</v>
      </c>
      <c r="R105" s="132">
        <v>4280</v>
      </c>
      <c r="S105" s="134">
        <v>2023</v>
      </c>
      <c r="T105" s="17">
        <v>59.1</v>
      </c>
      <c r="U105" s="133">
        <v>2015</v>
      </c>
      <c r="V105" s="23">
        <v>5.8799346328427502</v>
      </c>
      <c r="W105" s="134">
        <v>2023</v>
      </c>
      <c r="X105" s="137">
        <v>3.004</v>
      </c>
      <c r="Y105" s="133">
        <v>2018</v>
      </c>
      <c r="Z105" s="135">
        <f t="shared" ref="Z105:AB105" si="124">(AJ105*40)* 48</f>
        <v>168578990.19116968</v>
      </c>
      <c r="AA105" s="135">
        <f t="shared" si="124"/>
        <v>100377747.66581149</v>
      </c>
      <c r="AB105" s="138">
        <f t="shared" si="124"/>
        <v>268956737.85698122</v>
      </c>
      <c r="AC105" s="18">
        <f t="shared" si="1"/>
        <v>33.875980238841983</v>
      </c>
      <c r="AD105" s="120">
        <f t="shared" si="2"/>
        <v>506411286.53427374</v>
      </c>
      <c r="AE105" s="121">
        <f t="shared" si="3"/>
        <v>301534753.98809773</v>
      </c>
      <c r="AF105" s="122">
        <f t="shared" si="4"/>
        <v>807946040.52237153</v>
      </c>
      <c r="AG105" s="123">
        <f t="shared" si="5"/>
        <v>4.1001559286839136E-2</v>
      </c>
      <c r="AH105" s="124">
        <f t="shared" si="6"/>
        <v>2.4413743179574045E-2</v>
      </c>
      <c r="AI105" s="125">
        <f t="shared" si="7"/>
        <v>6.541530246641318E-2</v>
      </c>
      <c r="AJ105" s="139">
        <v>87801.557391234208</v>
      </c>
      <c r="AK105" s="140">
        <v>52280.076909276817</v>
      </c>
      <c r="AL105" s="140">
        <f t="shared" si="8"/>
        <v>140081.63430051104</v>
      </c>
      <c r="AM105" s="131">
        <f t="shared" si="118"/>
        <v>0.37321150035359124</v>
      </c>
      <c r="AN105" s="129">
        <f t="shared" si="9"/>
        <v>0.62678849964640859</v>
      </c>
      <c r="AO105" s="130">
        <f t="shared" si="10"/>
        <v>0.37321150035359124</v>
      </c>
      <c r="AP105" s="32" t="s">
        <v>10</v>
      </c>
      <c r="AQ105" s="20" t="s">
        <v>242</v>
      </c>
      <c r="AR105" s="20">
        <v>17.0931</v>
      </c>
      <c r="AS105" s="20">
        <v>-22.564800000000002</v>
      </c>
      <c r="AT105" s="33" t="s">
        <v>152</v>
      </c>
      <c r="AU105" s="15" t="s">
        <v>60</v>
      </c>
      <c r="AV105" s="15"/>
      <c r="AW105" s="15"/>
      <c r="AX105" s="15"/>
      <c r="AY105" s="35"/>
      <c r="AZ105" s="125"/>
      <c r="BA105" s="15"/>
      <c r="BB105" s="136"/>
      <c r="BC105" s="131"/>
      <c r="BD105" s="15"/>
      <c r="BE105" s="136"/>
      <c r="BF105" s="18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</row>
    <row r="106" spans="1:71" ht="14.5" x14ac:dyDescent="0.35">
      <c r="A106" s="7">
        <v>105</v>
      </c>
      <c r="B106" s="16" t="s">
        <v>9</v>
      </c>
      <c r="C106" s="132"/>
      <c r="D106" s="132">
        <v>2.6883923752232799</v>
      </c>
      <c r="E106" s="132">
        <v>1.77777783306949</v>
      </c>
      <c r="F106" s="133">
        <v>3.5990069173770798</v>
      </c>
      <c r="G106" s="23">
        <v>1.87632137727814</v>
      </c>
      <c r="H106" s="132">
        <v>0.87551446289545498</v>
      </c>
      <c r="I106" s="134">
        <v>2.6883923752232799</v>
      </c>
      <c r="J106" s="135">
        <v>26159867</v>
      </c>
      <c r="K106" s="134">
        <v>2023</v>
      </c>
      <c r="L106" s="136">
        <v>16819170420.5653</v>
      </c>
      <c r="M106" s="132">
        <v>2023</v>
      </c>
      <c r="N106" s="136">
        <v>642.93791786347094</v>
      </c>
      <c r="O106" s="133">
        <v>2023</v>
      </c>
      <c r="P106" s="136">
        <v>16303272745.4944</v>
      </c>
      <c r="Q106" s="132">
        <v>2023</v>
      </c>
      <c r="R106" s="132">
        <v>620</v>
      </c>
      <c r="S106" s="134">
        <v>2023</v>
      </c>
      <c r="T106" s="17">
        <v>32.9</v>
      </c>
      <c r="U106" s="133">
        <v>2021</v>
      </c>
      <c r="V106" s="23">
        <v>3.70097316425842</v>
      </c>
      <c r="W106" s="134">
        <v>2023</v>
      </c>
      <c r="X106" s="141">
        <v>0.75228125000000001</v>
      </c>
      <c r="Y106" s="142">
        <v>2022</v>
      </c>
      <c r="Z106" s="135">
        <f t="shared" ref="Z106:AB106" si="125">(AJ106*40)* 48</f>
        <v>942418899.43397677</v>
      </c>
      <c r="AA106" s="135">
        <f t="shared" si="125"/>
        <v>439744164.59369338</v>
      </c>
      <c r="AB106" s="138">
        <f t="shared" si="125"/>
        <v>1382163064.0276704</v>
      </c>
      <c r="AC106" s="18">
        <f t="shared" si="1"/>
        <v>16.809877687592731</v>
      </c>
      <c r="AD106" s="120">
        <f t="shared" si="2"/>
        <v>708964067.68981636</v>
      </c>
      <c r="AE106" s="121">
        <f t="shared" si="3"/>
        <v>330811289.8207494</v>
      </c>
      <c r="AF106" s="122">
        <f t="shared" si="4"/>
        <v>1039775357.5105658</v>
      </c>
      <c r="AG106" s="123">
        <f t="shared" si="5"/>
        <v>4.2152142463753435E-2</v>
      </c>
      <c r="AH106" s="124">
        <f t="shared" si="6"/>
        <v>1.9668704314706069E-2</v>
      </c>
      <c r="AI106" s="125">
        <f t="shared" si="7"/>
        <v>6.1820846778459504E-2</v>
      </c>
      <c r="AJ106" s="139">
        <v>490843.17678852961</v>
      </c>
      <c r="AK106" s="140">
        <v>229033.41905921529</v>
      </c>
      <c r="AL106" s="140">
        <f t="shared" si="8"/>
        <v>719876.59584774496</v>
      </c>
      <c r="AM106" s="128">
        <f>AJ106/AL106</f>
        <v>0.68184349876036765</v>
      </c>
      <c r="AN106" s="129">
        <f t="shared" si="9"/>
        <v>0.68184349876036765</v>
      </c>
      <c r="AO106" s="130">
        <f t="shared" si="10"/>
        <v>0.31815650123963224</v>
      </c>
      <c r="AP106" s="19" t="s">
        <v>10</v>
      </c>
      <c r="AQ106" s="20" t="s">
        <v>11</v>
      </c>
      <c r="AR106" s="20">
        <v>2.1073</v>
      </c>
      <c r="AS106" s="20">
        <v>13.513999999999999</v>
      </c>
      <c r="AT106" s="21" t="s">
        <v>12</v>
      </c>
      <c r="AU106" s="22" t="s">
        <v>13</v>
      </c>
      <c r="AV106" s="15"/>
      <c r="AW106" s="15"/>
      <c r="AX106" s="15"/>
      <c r="AY106" s="136">
        <v>18686.405096126498</v>
      </c>
      <c r="AZ106" s="125">
        <v>2.379977037136893E-2</v>
      </c>
      <c r="BA106" s="15"/>
      <c r="BB106" s="136">
        <v>18686.405096126498</v>
      </c>
      <c r="BC106" s="131">
        <v>0.38016612405785855</v>
      </c>
      <c r="BD106" s="15"/>
      <c r="BE106" s="136">
        <v>18686.405096126498</v>
      </c>
      <c r="BF106" s="18">
        <v>31.625906817072384</v>
      </c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</row>
    <row r="107" spans="1:71" ht="14.5" x14ac:dyDescent="0.35">
      <c r="A107" s="7">
        <v>106</v>
      </c>
      <c r="B107" s="23" t="s">
        <v>99</v>
      </c>
      <c r="C107" s="132"/>
      <c r="D107" s="132">
        <v>2.5516283374657598</v>
      </c>
      <c r="E107" s="132">
        <v>1.5957164182526999</v>
      </c>
      <c r="F107" s="133">
        <v>3.5075402566788201</v>
      </c>
      <c r="G107" s="23">
        <v>1.4612551008588099</v>
      </c>
      <c r="H107" s="132">
        <v>1.09960611496643</v>
      </c>
      <c r="I107" s="134">
        <v>2.5516283374657598</v>
      </c>
      <c r="J107" s="135">
        <v>227882945</v>
      </c>
      <c r="K107" s="134">
        <v>2023</v>
      </c>
      <c r="L107" s="136">
        <v>363846332834.61798</v>
      </c>
      <c r="M107" s="132">
        <v>2023</v>
      </c>
      <c r="N107" s="136">
        <v>1596.63696129001</v>
      </c>
      <c r="O107" s="133">
        <v>2023</v>
      </c>
      <c r="P107" s="136">
        <v>429500770756.84802</v>
      </c>
      <c r="Q107" s="132">
        <v>2023</v>
      </c>
      <c r="R107" s="132">
        <v>1880</v>
      </c>
      <c r="S107" s="134">
        <v>2023</v>
      </c>
      <c r="T107" s="17">
        <v>35.1</v>
      </c>
      <c r="U107" s="133">
        <v>2018</v>
      </c>
      <c r="V107" s="23">
        <v>24.659550203113898</v>
      </c>
      <c r="W107" s="134">
        <v>2023</v>
      </c>
      <c r="X107" s="137">
        <v>2.08</v>
      </c>
      <c r="Y107" s="133">
        <v>2013</v>
      </c>
      <c r="Z107" s="135">
        <f t="shared" ref="Z107:AB107" si="126">(AJ107*40)* 48</f>
        <v>6393506222.9755707</v>
      </c>
      <c r="AA107" s="135">
        <f t="shared" si="126"/>
        <v>4811164412.516325</v>
      </c>
      <c r="AB107" s="138">
        <f t="shared" si="126"/>
        <v>11204670635.491894</v>
      </c>
      <c r="AC107" s="18">
        <f t="shared" si="1"/>
        <v>21.112437407355451</v>
      </c>
      <c r="AD107" s="120">
        <f t="shared" si="2"/>
        <v>13298492943.789188</v>
      </c>
      <c r="AE107" s="121">
        <f t="shared" si="3"/>
        <v>10007221978.033957</v>
      </c>
      <c r="AF107" s="122">
        <f t="shared" si="4"/>
        <v>23305714921.823143</v>
      </c>
      <c r="AG107" s="123">
        <f t="shared" si="5"/>
        <v>3.6549751210035862E-2</v>
      </c>
      <c r="AH107" s="124">
        <f t="shared" si="6"/>
        <v>2.7503979221312147E-2</v>
      </c>
      <c r="AI107" s="125">
        <f t="shared" si="7"/>
        <v>6.4053730431348016E-2</v>
      </c>
      <c r="AJ107" s="139">
        <v>3329951.1577997762</v>
      </c>
      <c r="AK107" s="140">
        <v>2505814.798185586</v>
      </c>
      <c r="AL107" s="140">
        <f t="shared" si="8"/>
        <v>5835765.9559853617</v>
      </c>
      <c r="AM107" s="131">
        <f t="shared" ref="AM107:AM109" si="127">AE107/(AD107+AE107)</f>
        <v>0.42938918679827043</v>
      </c>
      <c r="AN107" s="129">
        <f t="shared" si="9"/>
        <v>0.57061081320172957</v>
      </c>
      <c r="AO107" s="130">
        <f t="shared" si="10"/>
        <v>0.42938918679827048</v>
      </c>
      <c r="AP107" s="19" t="s">
        <v>10</v>
      </c>
      <c r="AQ107" s="20" t="s">
        <v>100</v>
      </c>
      <c r="AR107" s="20">
        <v>7.4890600000000003</v>
      </c>
      <c r="AS107" s="20">
        <v>9.0580400000000001</v>
      </c>
      <c r="AT107" s="21" t="s">
        <v>59</v>
      </c>
      <c r="AU107" s="22" t="s">
        <v>66</v>
      </c>
      <c r="AV107" s="15"/>
      <c r="AW107" s="15"/>
      <c r="AX107" s="15"/>
      <c r="AY107" s="136">
        <v>52925.689763842398</v>
      </c>
      <c r="AZ107" s="125">
        <v>7.8653258750136595E-2</v>
      </c>
      <c r="BA107" s="15"/>
      <c r="BB107" s="136">
        <v>52925.689763842398</v>
      </c>
      <c r="BC107" s="131">
        <v>0.37652239484976219</v>
      </c>
      <c r="BD107" s="15"/>
      <c r="BE107" s="136">
        <v>52925.689763842398</v>
      </c>
      <c r="BF107" s="18">
        <v>69.04753881349825</v>
      </c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</row>
    <row r="108" spans="1:71" ht="14.5" x14ac:dyDescent="0.35">
      <c r="A108" s="7">
        <v>107</v>
      </c>
      <c r="B108" s="23" t="s">
        <v>48</v>
      </c>
      <c r="C108" s="132"/>
      <c r="D108" s="132">
        <v>2.4049929096687599</v>
      </c>
      <c r="E108" s="132">
        <v>1.5488094526915801</v>
      </c>
      <c r="F108" s="133">
        <v>3.2611763666459401</v>
      </c>
      <c r="G108" s="23">
        <v>1.40516263392875</v>
      </c>
      <c r="H108" s="132">
        <v>1.0321477273336801</v>
      </c>
      <c r="I108" s="134">
        <v>2.4049929096687599</v>
      </c>
      <c r="J108" s="135">
        <v>13954471</v>
      </c>
      <c r="K108" s="134">
        <v>2023</v>
      </c>
      <c r="L108" s="136">
        <v>14097768472.188299</v>
      </c>
      <c r="M108" s="132">
        <v>2023</v>
      </c>
      <c r="N108" s="136">
        <v>1010.2689290183999</v>
      </c>
      <c r="O108" s="133">
        <v>2023</v>
      </c>
      <c r="P108" s="136">
        <v>13853020998.445</v>
      </c>
      <c r="Q108" s="132">
        <v>2023</v>
      </c>
      <c r="R108" s="132">
        <v>990</v>
      </c>
      <c r="S108" s="134">
        <v>2023</v>
      </c>
      <c r="T108" s="17">
        <v>43.7</v>
      </c>
      <c r="U108" s="133">
        <v>2016</v>
      </c>
      <c r="V108" s="23">
        <v>19.789546746467</v>
      </c>
      <c r="W108" s="134">
        <v>2023</v>
      </c>
      <c r="X108" s="137">
        <v>0.45500000000000002</v>
      </c>
      <c r="Y108" s="133">
        <v>2023</v>
      </c>
      <c r="Z108" s="135">
        <f t="shared" ref="Z108:AB108" si="128">(AJ108*40)* 48</f>
        <v>376479383.52849329</v>
      </c>
      <c r="AA108" s="135">
        <f t="shared" si="128"/>
        <v>276539050.15283978</v>
      </c>
      <c r="AB108" s="138">
        <f t="shared" si="128"/>
        <v>653018433.68133318</v>
      </c>
      <c r="AC108" s="18">
        <f t="shared" si="1"/>
        <v>19.817236364806647</v>
      </c>
      <c r="AD108" s="120">
        <f t="shared" si="2"/>
        <v>171298119.50546446</v>
      </c>
      <c r="AE108" s="121">
        <f t="shared" si="3"/>
        <v>125825267.81954211</v>
      </c>
      <c r="AF108" s="122">
        <f t="shared" si="4"/>
        <v>297123387.3250066</v>
      </c>
      <c r="AG108" s="123">
        <f t="shared" si="5"/>
        <v>1.2150725828942135E-2</v>
      </c>
      <c r="AH108" s="124">
        <f t="shared" si="6"/>
        <v>8.925190399300913E-3</v>
      </c>
      <c r="AI108" s="125">
        <f t="shared" si="7"/>
        <v>2.107591622824305E-2</v>
      </c>
      <c r="AJ108" s="139">
        <v>196083.01225442361</v>
      </c>
      <c r="AK108" s="140">
        <v>144030.75528793741</v>
      </c>
      <c r="AL108" s="140">
        <f t="shared" si="8"/>
        <v>340113.76754236105</v>
      </c>
      <c r="AM108" s="131">
        <f t="shared" si="127"/>
        <v>0.42347816828672902</v>
      </c>
      <c r="AN108" s="129">
        <f t="shared" si="9"/>
        <v>0.57652183171327087</v>
      </c>
      <c r="AO108" s="130">
        <f t="shared" si="10"/>
        <v>0.42347816828672902</v>
      </c>
      <c r="AP108" s="19" t="s">
        <v>10</v>
      </c>
      <c r="AQ108" s="20" t="s">
        <v>49</v>
      </c>
      <c r="AR108" s="20">
        <v>30.058700000000002</v>
      </c>
      <c r="AS108" s="20">
        <v>-1.9532499999999999</v>
      </c>
      <c r="AT108" s="21" t="s">
        <v>12</v>
      </c>
      <c r="AU108" s="22" t="s">
        <v>13</v>
      </c>
      <c r="AV108" s="15"/>
      <c r="AW108" s="15"/>
      <c r="AX108" s="15"/>
      <c r="AY108" s="136">
        <v>8624.2936094853103</v>
      </c>
      <c r="AZ108" s="125">
        <v>2.8445014898862721E-2</v>
      </c>
      <c r="BB108" s="136">
        <v>8624.2936094853103</v>
      </c>
      <c r="BC108" s="131">
        <v>0.29376065884623453</v>
      </c>
      <c r="BE108" s="136">
        <v>8624.2936094853103</v>
      </c>
      <c r="BF108" s="18">
        <v>18.964427466158885</v>
      </c>
    </row>
    <row r="109" spans="1:71" ht="14.5" x14ac:dyDescent="0.35">
      <c r="A109" s="7">
        <v>108</v>
      </c>
      <c r="B109" s="23" t="s">
        <v>110</v>
      </c>
      <c r="C109" s="132"/>
      <c r="D109" s="132">
        <v>2.8229397102235101</v>
      </c>
      <c r="E109" s="132">
        <v>1.8944694147240699</v>
      </c>
      <c r="F109" s="133">
        <v>3.7514100057229598</v>
      </c>
      <c r="G109" s="23">
        <v>2.0703961706251701</v>
      </c>
      <c r="H109" s="132">
        <v>0.75271845720686403</v>
      </c>
      <c r="I109" s="134">
        <v>2.8229397102235101</v>
      </c>
      <c r="J109" s="135">
        <v>18077573</v>
      </c>
      <c r="K109" s="134">
        <v>2023</v>
      </c>
      <c r="L109" s="136">
        <v>30848333083.705502</v>
      </c>
      <c r="M109" s="132">
        <v>2023</v>
      </c>
      <c r="N109" s="136">
        <v>1706.4421802476199</v>
      </c>
      <c r="O109" s="133">
        <v>2023</v>
      </c>
      <c r="P109" s="136">
        <v>29532140835.2309</v>
      </c>
      <c r="Q109" s="132">
        <v>2023</v>
      </c>
      <c r="R109" s="132">
        <v>1630</v>
      </c>
      <c r="S109" s="134">
        <v>2023</v>
      </c>
      <c r="T109" s="17">
        <v>36.200000000000003</v>
      </c>
      <c r="U109" s="133">
        <v>2021</v>
      </c>
      <c r="V109" s="23">
        <v>5.9394779877321504</v>
      </c>
      <c r="W109" s="134">
        <v>2023</v>
      </c>
      <c r="X109" s="137">
        <v>0.81699999999999995</v>
      </c>
      <c r="Y109" s="133">
        <v>2019</v>
      </c>
      <c r="Z109" s="135">
        <f t="shared" ref="Z109:AB109" si="129">(AJ109*40)* 48</f>
        <v>718612567.93722188</v>
      </c>
      <c r="AA109" s="135">
        <f t="shared" si="129"/>
        <v>261260598.88520563</v>
      </c>
      <c r="AB109" s="138">
        <f t="shared" si="129"/>
        <v>979873166.82242739</v>
      </c>
      <c r="AC109" s="18">
        <f t="shared" si="1"/>
        <v>14.452194378371788</v>
      </c>
      <c r="AD109" s="120">
        <f t="shared" si="2"/>
        <v>587106468.0047102</v>
      </c>
      <c r="AE109" s="121">
        <f t="shared" si="3"/>
        <v>213449909.28921297</v>
      </c>
      <c r="AF109" s="122">
        <f t="shared" si="4"/>
        <v>800556377.29392314</v>
      </c>
      <c r="AG109" s="123">
        <f t="shared" si="5"/>
        <v>1.9032032181824036E-2</v>
      </c>
      <c r="AH109" s="124">
        <f t="shared" si="6"/>
        <v>6.9193336544320456E-3</v>
      </c>
      <c r="AI109" s="125">
        <f t="shared" si="7"/>
        <v>2.5951365836256082E-2</v>
      </c>
      <c r="AJ109" s="139">
        <v>374277.37913396972</v>
      </c>
      <c r="AK109" s="140">
        <v>136073.2285860446</v>
      </c>
      <c r="AL109" s="140">
        <f t="shared" si="8"/>
        <v>510350.60772001429</v>
      </c>
      <c r="AM109" s="131">
        <f t="shared" si="127"/>
        <v>0.26662695513178725</v>
      </c>
      <c r="AN109" s="129">
        <f t="shared" si="9"/>
        <v>0.73337304486821286</v>
      </c>
      <c r="AO109" s="130">
        <f t="shared" si="10"/>
        <v>0.26662695513178725</v>
      </c>
      <c r="AP109" s="19" t="s">
        <v>10</v>
      </c>
      <c r="AQ109" s="20" t="s">
        <v>111</v>
      </c>
      <c r="AR109" s="20">
        <v>-17.473400000000002</v>
      </c>
      <c r="AS109" s="20">
        <v>14.7247</v>
      </c>
      <c r="AT109" s="21" t="s">
        <v>59</v>
      </c>
      <c r="AU109" s="22" t="s">
        <v>13</v>
      </c>
      <c r="AV109" s="15"/>
      <c r="AW109" s="15"/>
      <c r="AX109" s="15"/>
      <c r="AY109" s="136">
        <v>3977.6951663964401</v>
      </c>
      <c r="AZ109" s="125">
        <v>2.30886294997527E-2</v>
      </c>
      <c r="BA109" s="15"/>
      <c r="BB109" s="136">
        <v>3977.6951663964401</v>
      </c>
      <c r="BC109" s="131">
        <v>0.22915124231229744</v>
      </c>
      <c r="BD109" s="15"/>
      <c r="BE109" s="136">
        <v>3977.6951663964401</v>
      </c>
      <c r="BF109" s="18">
        <v>12.350435671176653</v>
      </c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</row>
    <row r="110" spans="1:71" ht="14.5" x14ac:dyDescent="0.35">
      <c r="A110" s="7">
        <v>109</v>
      </c>
      <c r="B110" s="16" t="s">
        <v>22</v>
      </c>
      <c r="C110" s="132"/>
      <c r="D110" s="132">
        <v>3.1918441662668902</v>
      </c>
      <c r="E110" s="132">
        <v>2.3518430886082999</v>
      </c>
      <c r="F110" s="133">
        <v>4.0318452439254804</v>
      </c>
      <c r="G110" s="23">
        <v>1.88848327519504</v>
      </c>
      <c r="H110" s="132">
        <v>1.4871308320472001</v>
      </c>
      <c r="I110" s="134">
        <v>3.1918441662668902</v>
      </c>
      <c r="J110" s="135">
        <v>8460512</v>
      </c>
      <c r="K110" s="134">
        <v>2023</v>
      </c>
      <c r="L110" s="136">
        <v>6411869546.2892904</v>
      </c>
      <c r="M110" s="132">
        <v>2023</v>
      </c>
      <c r="N110" s="136">
        <v>757.85833603087997</v>
      </c>
      <c r="O110" s="133">
        <v>2023</v>
      </c>
      <c r="P110" s="136">
        <v>7336231335.0696898</v>
      </c>
      <c r="Q110" s="132">
        <v>2023</v>
      </c>
      <c r="R110" s="132">
        <v>870</v>
      </c>
      <c r="S110" s="134">
        <v>2023</v>
      </c>
      <c r="T110" s="17">
        <v>35.700000000000003</v>
      </c>
      <c r="U110" s="133">
        <v>2018</v>
      </c>
      <c r="V110" s="23">
        <v>47.6428733253179</v>
      </c>
      <c r="W110" s="134">
        <v>2023</v>
      </c>
      <c r="X110" s="141">
        <v>1.674883812</v>
      </c>
      <c r="Y110" s="142">
        <v>2018</v>
      </c>
      <c r="Z110" s="135">
        <f t="shared" ref="Z110:AB110" si="130">(AJ110*40)* 48</f>
        <v>306768679.90246928</v>
      </c>
      <c r="AA110" s="135">
        <f t="shared" si="130"/>
        <v>241572254.40202215</v>
      </c>
      <c r="AB110" s="138">
        <f t="shared" si="130"/>
        <v>548340934.3044914</v>
      </c>
      <c r="AC110" s="18">
        <f t="shared" si="1"/>
        <v>28.552911975306241</v>
      </c>
      <c r="AD110" s="120">
        <f t="shared" si="2"/>
        <v>513801895.99725556</v>
      </c>
      <c r="AE110" s="121">
        <f t="shared" si="3"/>
        <v>404605458.32629263</v>
      </c>
      <c r="AF110" s="122">
        <f t="shared" si="4"/>
        <v>918407354.3235482</v>
      </c>
      <c r="AG110" s="123">
        <f t="shared" si="5"/>
        <v>8.0132930386053403E-2</v>
      </c>
      <c r="AH110" s="124">
        <f t="shared" si="6"/>
        <v>6.3102571785860484E-2</v>
      </c>
      <c r="AI110" s="125">
        <f t="shared" si="7"/>
        <v>0.14323550217191389</v>
      </c>
      <c r="AJ110" s="139">
        <v>159775.35411586941</v>
      </c>
      <c r="AK110" s="140">
        <v>125818.8825010532</v>
      </c>
      <c r="AL110" s="140">
        <f t="shared" si="8"/>
        <v>285594.2366169226</v>
      </c>
      <c r="AM110" s="128">
        <f>AJ110/AL110</f>
        <v>0.55944880403935326</v>
      </c>
      <c r="AN110" s="129">
        <f t="shared" si="9"/>
        <v>0.55944880403935326</v>
      </c>
      <c r="AO110" s="130">
        <f t="shared" si="10"/>
        <v>0.44055119596064679</v>
      </c>
      <c r="AP110" s="19" t="s">
        <v>10</v>
      </c>
      <c r="AQ110" s="20" t="s">
        <v>23</v>
      </c>
      <c r="AR110" s="20">
        <v>-13.2134</v>
      </c>
      <c r="AS110" s="20">
        <v>8.4821000000000009</v>
      </c>
      <c r="AT110" s="21" t="s">
        <v>12</v>
      </c>
      <c r="AU110" s="22" t="s">
        <v>13</v>
      </c>
      <c r="AV110" s="15"/>
      <c r="AW110" s="15"/>
      <c r="AX110" s="15"/>
      <c r="AY110" s="136">
        <v>5762.8217461591803</v>
      </c>
      <c r="AZ110" s="125">
        <v>1.5706812647364642E-2</v>
      </c>
      <c r="BA110" s="15"/>
      <c r="BB110" s="136">
        <v>5762.8217461591803</v>
      </c>
      <c r="BC110" s="131">
        <v>0.39413117431458328</v>
      </c>
      <c r="BD110" s="15"/>
      <c r="BE110" s="136">
        <v>5762.8217461591803</v>
      </c>
      <c r="BF110" s="18">
        <v>17.402441240315614</v>
      </c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</row>
    <row r="111" spans="1:71" ht="14.5" x14ac:dyDescent="0.35">
      <c r="A111" s="7">
        <v>110</v>
      </c>
      <c r="B111" s="23" t="s">
        <v>243</v>
      </c>
      <c r="C111" s="132">
        <v>4.4748029112541303</v>
      </c>
      <c r="D111" s="132">
        <v>3.8079065567870898</v>
      </c>
      <c r="E111" s="132">
        <v>2.8483699262348101</v>
      </c>
      <c r="F111" s="133">
        <v>4.7674431873393797</v>
      </c>
      <c r="G111" s="23">
        <v>2.1377670002548399</v>
      </c>
      <c r="H111" s="132">
        <v>1.66200707435599</v>
      </c>
      <c r="I111" s="134">
        <v>4.4748029112541303</v>
      </c>
      <c r="J111" s="135">
        <v>63212384</v>
      </c>
      <c r="K111" s="134">
        <v>2023</v>
      </c>
      <c r="L111" s="136">
        <v>380699271814.508</v>
      </c>
      <c r="M111" s="132">
        <v>2023</v>
      </c>
      <c r="N111" s="136">
        <v>6022.5425418935001</v>
      </c>
      <c r="O111" s="133">
        <v>2023</v>
      </c>
      <c r="P111" s="136">
        <v>409784434310.32599</v>
      </c>
      <c r="Q111" s="132">
        <v>2023</v>
      </c>
      <c r="R111" s="132">
        <v>6480</v>
      </c>
      <c r="S111" s="134">
        <v>2023</v>
      </c>
      <c r="T111" s="17">
        <v>63</v>
      </c>
      <c r="U111" s="133">
        <v>2014</v>
      </c>
      <c r="V111" s="23">
        <v>6.0739085322052997</v>
      </c>
      <c r="W111" s="134">
        <v>2023</v>
      </c>
      <c r="X111" s="137">
        <v>2.9180000000000001</v>
      </c>
      <c r="Y111" s="133">
        <v>2007</v>
      </c>
      <c r="Z111" s="135">
        <f t="shared" ref="Z111:AB111" si="131">(AJ111*40)* 48</f>
        <v>2594560291.6346302</v>
      </c>
      <c r="AA111" s="135">
        <f t="shared" si="131"/>
        <v>2017141044.3822222</v>
      </c>
      <c r="AB111" s="138">
        <f t="shared" si="131"/>
        <v>4611701336.0168524</v>
      </c>
      <c r="AC111" s="18">
        <f t="shared" si="1"/>
        <v>31.910535827635012</v>
      </c>
      <c r="AD111" s="120">
        <f t="shared" si="2"/>
        <v>7570926930.989851</v>
      </c>
      <c r="AE111" s="121">
        <f t="shared" si="3"/>
        <v>5886017567.5073242</v>
      </c>
      <c r="AF111" s="122">
        <f t="shared" si="4"/>
        <v>13456944498.497175</v>
      </c>
      <c r="AG111" s="123">
        <f t="shared" si="5"/>
        <v>1.9886896276173367E-2</v>
      </c>
      <c r="AH111" s="124">
        <f t="shared" si="6"/>
        <v>1.5461068626302046E-2</v>
      </c>
      <c r="AI111" s="125">
        <f t="shared" si="7"/>
        <v>3.5347964902475409E-2</v>
      </c>
      <c r="AJ111" s="139">
        <v>1351333.4852263699</v>
      </c>
      <c r="AK111" s="140">
        <v>1050594.2939490741</v>
      </c>
      <c r="AL111" s="140">
        <f t="shared" si="8"/>
        <v>2401927.779175444</v>
      </c>
      <c r="AM111" s="131">
        <f>AE111/(AD111+AE111)</f>
        <v>0.4373962877059242</v>
      </c>
      <c r="AN111" s="129">
        <f t="shared" si="9"/>
        <v>0.5626037122940758</v>
      </c>
      <c r="AO111" s="130">
        <f t="shared" si="10"/>
        <v>0.4373962877059242</v>
      </c>
      <c r="AP111" s="32" t="s">
        <v>10</v>
      </c>
      <c r="AQ111" s="20" t="s">
        <v>244</v>
      </c>
      <c r="AR111" s="20">
        <v>28.187100000000001</v>
      </c>
      <c r="AS111" s="20">
        <v>-25.745999999999999</v>
      </c>
      <c r="AT111" s="33" t="s">
        <v>152</v>
      </c>
      <c r="AU111" s="15" t="s">
        <v>60</v>
      </c>
      <c r="AV111" s="15"/>
      <c r="AW111" s="15"/>
      <c r="AX111" s="15"/>
      <c r="AY111" s="136">
        <v>22056.6661704127</v>
      </c>
      <c r="AZ111" s="125">
        <v>2.0830420377976187E-2</v>
      </c>
      <c r="BA111" s="15"/>
      <c r="BB111" s="136">
        <v>22056.6661704127</v>
      </c>
      <c r="BC111" s="131">
        <v>0.29227525518271502</v>
      </c>
      <c r="BD111" s="15"/>
      <c r="BE111" s="136">
        <v>22056.6661704127</v>
      </c>
      <c r="BF111" s="18">
        <v>17.904767653815398</v>
      </c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</row>
    <row r="112" spans="1:71" ht="14.5" x14ac:dyDescent="0.35">
      <c r="A112" s="7">
        <v>111</v>
      </c>
      <c r="B112" s="16" t="s">
        <v>32</v>
      </c>
      <c r="C112" s="132"/>
      <c r="D112" s="132">
        <v>2.8018776931762699</v>
      </c>
      <c r="E112" s="132">
        <v>1.97269555492808</v>
      </c>
      <c r="F112" s="133">
        <v>3.63105983142446</v>
      </c>
      <c r="G112" s="23">
        <v>1.7320882490479801</v>
      </c>
      <c r="H112" s="132">
        <v>1.1160208827542899</v>
      </c>
      <c r="I112" s="134">
        <v>2.8018776931762699</v>
      </c>
      <c r="J112" s="135">
        <v>9304337</v>
      </c>
      <c r="K112" s="134">
        <v>2023</v>
      </c>
      <c r="L112" s="136">
        <v>9171261837.5710297</v>
      </c>
      <c r="M112" s="132">
        <v>2023</v>
      </c>
      <c r="N112" s="136">
        <v>985.69751262997397</v>
      </c>
      <c r="O112" s="133">
        <v>2023</v>
      </c>
      <c r="P112" s="136">
        <v>9323210954.7998009</v>
      </c>
      <c r="Q112" s="132">
        <v>2023</v>
      </c>
      <c r="R112" s="132">
        <v>1000</v>
      </c>
      <c r="S112" s="134">
        <v>2023</v>
      </c>
      <c r="T112" s="17">
        <v>37.9</v>
      </c>
      <c r="U112" s="133">
        <v>2021</v>
      </c>
      <c r="V112" s="23">
        <v>7.9675736161794504</v>
      </c>
      <c r="W112" s="134">
        <v>2022</v>
      </c>
      <c r="X112" s="141">
        <v>0.86038749999999997</v>
      </c>
      <c r="Y112" s="142">
        <v>2022</v>
      </c>
      <c r="Z112" s="135">
        <f t="shared" ref="Z112:AB112" si="132">(AJ112*40)* 48</f>
        <v>309425909.43134093</v>
      </c>
      <c r="AA112" s="135">
        <f t="shared" si="132"/>
        <v>199369620.32992131</v>
      </c>
      <c r="AB112" s="138">
        <f t="shared" si="132"/>
        <v>508795529.7612623</v>
      </c>
      <c r="AC112" s="18">
        <f t="shared" si="1"/>
        <v>21.427600948882365</v>
      </c>
      <c r="AD112" s="120">
        <f t="shared" si="2"/>
        <v>266226184.65085784</v>
      </c>
      <c r="AE112" s="121">
        <f t="shared" si="3"/>
        <v>171535129.21161017</v>
      </c>
      <c r="AF112" s="122">
        <f t="shared" si="4"/>
        <v>437761313.862468</v>
      </c>
      <c r="AG112" s="123">
        <f t="shared" si="5"/>
        <v>2.9028304868609741E-2</v>
      </c>
      <c r="AH112" s="124">
        <f t="shared" si="6"/>
        <v>1.8703547259865446E-2</v>
      </c>
      <c r="AI112" s="125">
        <f t="shared" si="7"/>
        <v>4.7731852128475187E-2</v>
      </c>
      <c r="AJ112" s="139">
        <v>161159.32782882341</v>
      </c>
      <c r="AK112" s="140">
        <v>103838.34392183401</v>
      </c>
      <c r="AL112" s="140">
        <f t="shared" si="8"/>
        <v>264997.67175065744</v>
      </c>
      <c r="AM112" s="128">
        <f>AJ112/AL112</f>
        <v>0.60815375004676275</v>
      </c>
      <c r="AN112" s="129">
        <f t="shared" si="9"/>
        <v>0.60815375004676275</v>
      </c>
      <c r="AO112" s="130">
        <f t="shared" si="10"/>
        <v>0.39184624995323714</v>
      </c>
      <c r="AP112" s="19" t="s">
        <v>10</v>
      </c>
      <c r="AQ112" s="20" t="s">
        <v>33</v>
      </c>
      <c r="AR112" s="20">
        <v>1.2255</v>
      </c>
      <c r="AS112" s="20">
        <v>6.1227999999999998</v>
      </c>
      <c r="AT112" s="21" t="s">
        <v>12</v>
      </c>
      <c r="AU112" s="22" t="s">
        <v>13</v>
      </c>
      <c r="AV112" s="15"/>
      <c r="AW112" s="15"/>
      <c r="AX112" s="15"/>
      <c r="AY112" s="136">
        <v>2156.0340040332999</v>
      </c>
      <c r="AZ112" s="125">
        <v>1.888499651333745E-2</v>
      </c>
      <c r="BA112" s="15"/>
      <c r="BB112" s="136">
        <v>2156.0340040332999</v>
      </c>
      <c r="BC112" s="131">
        <v>0.42261112009666701</v>
      </c>
      <c r="BD112" s="15"/>
      <c r="BE112" s="136">
        <v>2156.0340040332999</v>
      </c>
      <c r="BF112" s="18">
        <v>25.417027964794372</v>
      </c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</row>
    <row r="113" spans="1:71" ht="16.5" x14ac:dyDescent="0.35">
      <c r="A113" s="7">
        <v>112</v>
      </c>
      <c r="B113" s="25" t="s">
        <v>43</v>
      </c>
      <c r="C113" s="132">
        <v>2.4750773461670699</v>
      </c>
      <c r="D113" s="132">
        <v>2.7608204937160399</v>
      </c>
      <c r="E113" s="132">
        <v>1.8667005463965001</v>
      </c>
      <c r="F113" s="133">
        <v>3.6549404410355799</v>
      </c>
      <c r="G113" s="23">
        <v>1.52810080141685</v>
      </c>
      <c r="H113" s="132">
        <v>1.34228535531142</v>
      </c>
      <c r="I113" s="134">
        <v>2.4750773461670699</v>
      </c>
      <c r="J113" s="135">
        <v>48656601</v>
      </c>
      <c r="K113" s="134">
        <v>2023</v>
      </c>
      <c r="L113" s="136">
        <v>48768955863.317497</v>
      </c>
      <c r="M113" s="132">
        <v>2023</v>
      </c>
      <c r="N113" s="136">
        <v>1002.30913917142</v>
      </c>
      <c r="O113" s="133">
        <v>2023</v>
      </c>
      <c r="P113" s="136">
        <v>47261072713.797401</v>
      </c>
      <c r="Q113" s="132">
        <v>2023</v>
      </c>
      <c r="R113" s="132">
        <v>970</v>
      </c>
      <c r="S113" s="134">
        <v>2023</v>
      </c>
      <c r="T113" s="17">
        <v>42.7</v>
      </c>
      <c r="U113" s="133">
        <v>2019</v>
      </c>
      <c r="V113" s="23">
        <v>5.3509480428039504</v>
      </c>
      <c r="W113" s="134">
        <v>2023</v>
      </c>
      <c r="X113" s="137">
        <v>0.97899999999999998</v>
      </c>
      <c r="Y113" s="133">
        <v>2021</v>
      </c>
      <c r="Z113" s="135">
        <f t="shared" ref="Z113:AB113" si="133">(AJ113*40)* 48</f>
        <v>1427562066.8605421</v>
      </c>
      <c r="AA113" s="135">
        <f t="shared" si="133"/>
        <v>1253972024.8613951</v>
      </c>
      <c r="AB113" s="138">
        <f t="shared" si="133"/>
        <v>2681534091.7219372</v>
      </c>
      <c r="AC113" s="18">
        <f t="shared" si="1"/>
        <v>25.771878821979264</v>
      </c>
      <c r="AD113" s="120">
        <f t="shared" si="2"/>
        <v>1397583263.4564707</v>
      </c>
      <c r="AE113" s="121">
        <f t="shared" si="3"/>
        <v>1227638612.3393059</v>
      </c>
      <c r="AF113" s="122">
        <f t="shared" si="4"/>
        <v>2625221875.7957764</v>
      </c>
      <c r="AG113" s="123">
        <f t="shared" si="5"/>
        <v>2.8657231608021562E-2</v>
      </c>
      <c r="AH113" s="124">
        <f t="shared" si="6"/>
        <v>2.5172542462872323E-2</v>
      </c>
      <c r="AI113" s="125">
        <f t="shared" si="7"/>
        <v>5.3829774070893885E-2</v>
      </c>
      <c r="AJ113" s="139">
        <v>743521.90982319904</v>
      </c>
      <c r="AK113" s="140">
        <v>653110.42961530993</v>
      </c>
      <c r="AL113" s="140">
        <f t="shared" si="8"/>
        <v>1396632.339438509</v>
      </c>
      <c r="AM113" s="131">
        <f t="shared" ref="AM113:AM116" si="134">AE113/(AD113+AE113)</f>
        <v>0.46763232611231198</v>
      </c>
      <c r="AN113" s="129">
        <f t="shared" si="9"/>
        <v>0.53236767388768813</v>
      </c>
      <c r="AO113" s="130">
        <f t="shared" si="10"/>
        <v>0.46763232611231192</v>
      </c>
      <c r="AP113" s="26" t="s">
        <v>10</v>
      </c>
      <c r="AQ113" s="20" t="s">
        <v>44</v>
      </c>
      <c r="AR113" s="20">
        <v>32.572899999999997</v>
      </c>
      <c r="AS113" s="20">
        <v>0.31426900000000002</v>
      </c>
      <c r="AT113" s="27" t="s">
        <v>12</v>
      </c>
      <c r="AU113" s="22" t="s">
        <v>13</v>
      </c>
      <c r="AV113" s="15"/>
      <c r="AW113" s="15"/>
      <c r="AX113" s="15"/>
      <c r="AY113" s="136">
        <v>3654.3584553487799</v>
      </c>
      <c r="AZ113" s="125">
        <v>0.1407741927620775</v>
      </c>
      <c r="BB113" s="136">
        <v>3654.3584553487799</v>
      </c>
      <c r="BC113" s="131">
        <v>0.33930636115408563</v>
      </c>
      <c r="BE113" s="136">
        <v>3654.3584553487799</v>
      </c>
      <c r="BF113" s="18">
        <v>39.072138844165622</v>
      </c>
    </row>
    <row r="114" spans="1:71" ht="14.5" x14ac:dyDescent="0.35">
      <c r="A114" s="7">
        <v>113</v>
      </c>
      <c r="B114" s="23" t="s">
        <v>51</v>
      </c>
      <c r="C114" s="132"/>
      <c r="D114" s="132">
        <v>2.80069526936719</v>
      </c>
      <c r="E114" s="132">
        <v>1.8585459635061501</v>
      </c>
      <c r="F114" s="133">
        <v>3.7428445752282302</v>
      </c>
      <c r="G114" s="23">
        <v>1.6268455734386</v>
      </c>
      <c r="H114" s="132">
        <v>1.3058111906686001</v>
      </c>
      <c r="I114" s="134">
        <v>2.80069526936719</v>
      </c>
      <c r="J114" s="135">
        <v>20723965</v>
      </c>
      <c r="K114" s="134">
        <v>2023</v>
      </c>
      <c r="L114" s="136">
        <v>27577956471.243999</v>
      </c>
      <c r="M114" s="132">
        <v>2023</v>
      </c>
      <c r="N114" s="136">
        <v>1330.7278057670901</v>
      </c>
      <c r="O114" s="133">
        <v>2023</v>
      </c>
      <c r="P114" s="136">
        <v>26731807415.285301</v>
      </c>
      <c r="Q114" s="132">
        <v>2023</v>
      </c>
      <c r="R114" s="132">
        <v>1290</v>
      </c>
      <c r="S114" s="134">
        <v>2023</v>
      </c>
      <c r="T114" s="17">
        <v>51.5</v>
      </c>
      <c r="U114" s="133">
        <v>2022</v>
      </c>
      <c r="V114" s="23">
        <v>10.884531691282</v>
      </c>
      <c r="W114" s="134">
        <v>2023</v>
      </c>
      <c r="X114" s="137">
        <v>0.91700000000000004</v>
      </c>
      <c r="Y114" s="133">
        <v>2023</v>
      </c>
      <c r="Z114" s="135">
        <f t="shared" ref="Z114:AB114" si="135">(AJ114*40)* 48</f>
        <v>647322061.90745234</v>
      </c>
      <c r="AA114" s="135">
        <f t="shared" si="135"/>
        <v>519582439.91086847</v>
      </c>
      <c r="AB114" s="138">
        <f t="shared" si="135"/>
        <v>1166904501.8183208</v>
      </c>
      <c r="AC114" s="18">
        <f t="shared" si="1"/>
        <v>25.071574860837124</v>
      </c>
      <c r="AD114" s="120">
        <f t="shared" si="2"/>
        <v>593594330.76913381</v>
      </c>
      <c r="AE114" s="121">
        <f t="shared" si="3"/>
        <v>476457097.39826638</v>
      </c>
      <c r="AF114" s="122">
        <f t="shared" si="4"/>
        <v>1070051428.1674001</v>
      </c>
      <c r="AG114" s="123">
        <f t="shared" si="5"/>
        <v>2.1524231912835333E-2</v>
      </c>
      <c r="AH114" s="124">
        <f t="shared" si="6"/>
        <v>1.727673687117014E-2</v>
      </c>
      <c r="AI114" s="125">
        <f t="shared" si="7"/>
        <v>3.8800968784005477E-2</v>
      </c>
      <c r="AJ114" s="139">
        <v>337146.90724346478</v>
      </c>
      <c r="AK114" s="140">
        <v>270615.85412024398</v>
      </c>
      <c r="AL114" s="140">
        <f t="shared" si="8"/>
        <v>607762.76136370876</v>
      </c>
      <c r="AM114" s="131">
        <f t="shared" si="134"/>
        <v>0.44526560579827462</v>
      </c>
      <c r="AN114" s="129">
        <f t="shared" si="9"/>
        <v>0.55473439420172543</v>
      </c>
      <c r="AO114" s="130">
        <f t="shared" si="10"/>
        <v>0.44526560579827462</v>
      </c>
      <c r="AP114" s="19" t="s">
        <v>10</v>
      </c>
      <c r="AQ114" s="20" t="s">
        <v>52</v>
      </c>
      <c r="AR114" s="20">
        <v>28.293700000000001</v>
      </c>
      <c r="AS114" s="20">
        <v>-15.398199999999999</v>
      </c>
      <c r="AT114" s="21" t="s">
        <v>12</v>
      </c>
      <c r="AU114" s="22" t="s">
        <v>13</v>
      </c>
      <c r="AV114" s="15"/>
      <c r="AW114" s="15"/>
      <c r="AX114" s="15"/>
      <c r="AY114" s="136">
        <v>4168.2852108734696</v>
      </c>
      <c r="AZ114" s="125">
        <v>6.541530246641318E-2</v>
      </c>
      <c r="BB114" s="136">
        <v>4168.2852108734696</v>
      </c>
      <c r="BC114" s="131">
        <v>0.37321150035359124</v>
      </c>
      <c r="BE114" s="136">
        <v>4168.2852108734696</v>
      </c>
      <c r="BF114" s="18">
        <v>33.875980238841983</v>
      </c>
    </row>
    <row r="115" spans="1:71" ht="14.5" x14ac:dyDescent="0.35">
      <c r="A115" s="7">
        <v>114</v>
      </c>
      <c r="B115" s="23" t="s">
        <v>148</v>
      </c>
      <c r="C115" s="132"/>
      <c r="D115" s="132">
        <v>2.9231991545392702</v>
      </c>
      <c r="E115" s="132">
        <v>2.11391956126355</v>
      </c>
      <c r="F115" s="133">
        <v>3.7324787478149899</v>
      </c>
      <c r="G115" s="23">
        <v>1.8086354256400801</v>
      </c>
      <c r="H115" s="132">
        <v>1.3238035398330401</v>
      </c>
      <c r="I115" s="134">
        <v>2.9231991545392702</v>
      </c>
      <c r="J115" s="135">
        <v>16340822</v>
      </c>
      <c r="K115" s="134">
        <v>2023</v>
      </c>
      <c r="L115" s="136">
        <v>35231367885.8554</v>
      </c>
      <c r="M115" s="132">
        <v>2023</v>
      </c>
      <c r="N115" s="136">
        <v>2156.0340040332999</v>
      </c>
      <c r="O115" s="133">
        <v>2023</v>
      </c>
      <c r="P115" s="136">
        <v>33687156926.918701</v>
      </c>
      <c r="Q115" s="132">
        <v>2023</v>
      </c>
      <c r="R115" s="132">
        <v>2060</v>
      </c>
      <c r="S115" s="134">
        <v>2023</v>
      </c>
      <c r="T115" s="17">
        <v>50.3</v>
      </c>
      <c r="U115" s="133">
        <v>2019</v>
      </c>
      <c r="V115" s="23">
        <v>104.70517062866701</v>
      </c>
      <c r="W115" s="134">
        <v>2022</v>
      </c>
      <c r="X115" s="137">
        <v>0.67700000000000005</v>
      </c>
      <c r="Y115" s="150">
        <v>2023</v>
      </c>
      <c r="Z115" s="65">
        <f t="shared" ref="Z115:AB115" si="136">(AJ115*40)* 48</f>
        <v>567448119.42295265</v>
      </c>
      <c r="AA115" s="135">
        <f t="shared" si="136"/>
        <v>415335129.74172711</v>
      </c>
      <c r="AB115" s="138">
        <f t="shared" si="136"/>
        <v>982783249.16467988</v>
      </c>
      <c r="AC115" s="52">
        <f t="shared" si="1"/>
        <v>25.417027964794372</v>
      </c>
      <c r="AD115" s="120">
        <f t="shared" si="2"/>
        <v>384162376.84933895</v>
      </c>
      <c r="AE115" s="121">
        <f t="shared" si="3"/>
        <v>281181882.83514929</v>
      </c>
      <c r="AF115" s="122">
        <f t="shared" si="4"/>
        <v>665344259.6844883</v>
      </c>
      <c r="AG115" s="151">
        <f t="shared" si="5"/>
        <v>1.0903986983814258E-2</v>
      </c>
      <c r="AH115" s="152">
        <f t="shared" si="6"/>
        <v>7.9810095295231916E-3</v>
      </c>
      <c r="AI115" s="153">
        <f t="shared" si="7"/>
        <v>1.888499651333745E-2</v>
      </c>
      <c r="AJ115" s="154">
        <v>295545.89553278789</v>
      </c>
      <c r="AK115" s="155">
        <v>216320.3800738162</v>
      </c>
      <c r="AL115" s="155">
        <f t="shared" si="8"/>
        <v>511866.27560660406</v>
      </c>
      <c r="AM115" s="156">
        <f t="shared" si="134"/>
        <v>0.42261112009666701</v>
      </c>
      <c r="AN115" s="157">
        <f t="shared" si="9"/>
        <v>0.5773888799033331</v>
      </c>
      <c r="AO115" s="158">
        <f t="shared" si="10"/>
        <v>0.42261112009666701</v>
      </c>
      <c r="AP115" s="19" t="s">
        <v>10</v>
      </c>
      <c r="AQ115" s="20" t="s">
        <v>149</v>
      </c>
      <c r="AR115" s="20">
        <v>31.0672</v>
      </c>
      <c r="AS115" s="20">
        <v>-17.831199999999999</v>
      </c>
      <c r="AT115" s="21" t="s">
        <v>59</v>
      </c>
      <c r="AU115" s="22" t="s">
        <v>66</v>
      </c>
      <c r="AV115" s="15"/>
      <c r="AW115" s="15"/>
      <c r="AX115" s="15"/>
      <c r="AY115" s="145"/>
      <c r="AZ115" s="153"/>
      <c r="BA115" s="15"/>
      <c r="BB115" s="136"/>
      <c r="BC115" s="156"/>
      <c r="BD115" s="15"/>
      <c r="BE115" s="136"/>
      <c r="BF115" s="52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</row>
    <row r="116" spans="1:71" ht="14.5" x14ac:dyDescent="0.35">
      <c r="A116" s="7"/>
      <c r="B116" s="53" t="s">
        <v>370</v>
      </c>
      <c r="C116" s="159"/>
      <c r="D116" s="159"/>
      <c r="E116" s="159"/>
      <c r="F116" s="159"/>
      <c r="G116" s="159"/>
      <c r="H116" s="159"/>
      <c r="I116" s="159"/>
      <c r="J116" s="160">
        <f>SUM(J2:J115)</f>
        <v>5512178129</v>
      </c>
      <c r="K116" s="161"/>
      <c r="L116" s="161">
        <f>SUM(L2:L115)</f>
        <v>81473182752793.156</v>
      </c>
      <c r="M116" s="159"/>
      <c r="N116" s="161"/>
      <c r="O116" s="159"/>
      <c r="P116" s="161"/>
      <c r="Q116" s="159"/>
      <c r="R116" s="159"/>
      <c r="S116" s="159"/>
      <c r="T116" s="54"/>
      <c r="U116" s="159"/>
      <c r="V116" s="159"/>
      <c r="W116" s="159"/>
      <c r="X116" s="162"/>
      <c r="Y116" s="53" t="s">
        <v>370</v>
      </c>
      <c r="Z116" s="54">
        <f t="shared" ref="Z116:AB116" si="137">SUM(Z2:Z115)</f>
        <v>276585486277.67352</v>
      </c>
      <c r="AA116" s="163">
        <f t="shared" si="137"/>
        <v>156403143648.29688</v>
      </c>
      <c r="AB116" s="164">
        <f t="shared" si="137"/>
        <v>432988629925.97028</v>
      </c>
      <c r="AC116" s="55">
        <f t="shared" si="1"/>
        <v>28.374109106788062</v>
      </c>
      <c r="AD116" s="165">
        <f t="shared" ref="AD116:AE116" si="138">SUM(AD2:AD115)</f>
        <v>3954533821131.8896</v>
      </c>
      <c r="AE116" s="165">
        <f t="shared" si="138"/>
        <v>1970233143417.8491</v>
      </c>
      <c r="AF116" s="165">
        <f t="shared" si="4"/>
        <v>5924766964549.7383</v>
      </c>
      <c r="AG116" s="215"/>
      <c r="AH116" s="216"/>
      <c r="AI116" s="217"/>
      <c r="AJ116" s="166">
        <f t="shared" ref="AJ116:AL116" si="139">SUM(AJ2:AJ115)</f>
        <v>144054940.76962158</v>
      </c>
      <c r="AK116" s="163">
        <f t="shared" si="139"/>
        <v>81459970.65015471</v>
      </c>
      <c r="AL116" s="163">
        <f t="shared" si="139"/>
        <v>225514911.41977623</v>
      </c>
      <c r="AM116" s="167">
        <f t="shared" si="134"/>
        <v>0.33254187974084815</v>
      </c>
      <c r="AN116" s="218"/>
      <c r="AO116" s="217"/>
      <c r="AP116" s="56"/>
      <c r="AQ116" s="57"/>
      <c r="AR116" s="57"/>
      <c r="AS116" s="57"/>
      <c r="AT116" s="58"/>
      <c r="AU116" s="57"/>
      <c r="AV116" s="59"/>
      <c r="AW116" s="59"/>
      <c r="AX116" s="59"/>
      <c r="AY116" s="161"/>
      <c r="BA116" s="59"/>
      <c r="BB116" s="161"/>
      <c r="BC116" s="167">
        <v>0.33413993026260674</v>
      </c>
      <c r="BD116" s="59"/>
      <c r="BE116" s="161"/>
      <c r="BF116" s="55">
        <v>27.735131699605311</v>
      </c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</row>
    <row r="117" spans="1:71" ht="14.5" x14ac:dyDescent="0.35">
      <c r="A117" s="7"/>
      <c r="B117" s="60" t="s">
        <v>371</v>
      </c>
      <c r="C117" s="7"/>
      <c r="D117" s="7"/>
      <c r="E117" s="7"/>
      <c r="F117" s="60" t="s">
        <v>371</v>
      </c>
      <c r="G117" s="168">
        <f t="shared" ref="G117:I117" si="140">MEDIAN(G2:G115)</f>
        <v>2.3659269366372149</v>
      </c>
      <c r="H117" s="168">
        <f t="shared" si="140"/>
        <v>1.30156566793615</v>
      </c>
      <c r="I117" s="168">
        <f t="shared" si="140"/>
        <v>3.4284857283743397</v>
      </c>
      <c r="J117" s="169"/>
      <c r="K117" s="7"/>
      <c r="L117" s="147"/>
      <c r="M117" s="7"/>
      <c r="N117" s="147"/>
      <c r="O117" s="7"/>
      <c r="P117" s="147"/>
      <c r="Q117" s="7"/>
      <c r="R117" s="7"/>
      <c r="S117" s="60" t="s">
        <v>371</v>
      </c>
      <c r="T117" s="61">
        <f>MEDIAN(T2:T115)</f>
        <v>34.799999999999997</v>
      </c>
      <c r="U117" s="7"/>
      <c r="V117" s="7"/>
      <c r="W117" s="7"/>
      <c r="X117" s="170"/>
      <c r="Y117" s="60" t="s">
        <v>371</v>
      </c>
      <c r="Z117" s="61">
        <f t="shared" ref="Z117:AO117" si="141">MEDIAN(Z2:Z115)</f>
        <v>633043829.13154101</v>
      </c>
      <c r="AA117" s="171">
        <f t="shared" si="141"/>
        <v>391326810.19094539</v>
      </c>
      <c r="AB117" s="172">
        <f t="shared" si="141"/>
        <v>1057354494.7998437</v>
      </c>
      <c r="AC117" s="18">
        <f t="shared" si="141"/>
        <v>24.990060824374083</v>
      </c>
      <c r="AD117" s="126">
        <f t="shared" si="141"/>
        <v>1898937111.3334064</v>
      </c>
      <c r="AE117" s="171">
        <f t="shared" si="141"/>
        <v>1073903986.0871177</v>
      </c>
      <c r="AF117" s="127">
        <f t="shared" si="141"/>
        <v>2969695628.562921</v>
      </c>
      <c r="AG117" s="173">
        <f t="shared" si="141"/>
        <v>2.3769183862058962E-2</v>
      </c>
      <c r="AH117" s="174">
        <f t="shared" si="141"/>
        <v>1.4559298524243158E-2</v>
      </c>
      <c r="AI117" s="175">
        <f t="shared" si="141"/>
        <v>3.9151278884271175E-2</v>
      </c>
      <c r="AJ117" s="126">
        <f t="shared" si="141"/>
        <v>329710.32767267764</v>
      </c>
      <c r="AK117" s="171">
        <f t="shared" si="141"/>
        <v>203816.04697445076</v>
      </c>
      <c r="AL117" s="127">
        <f t="shared" si="141"/>
        <v>550705.4660415852</v>
      </c>
      <c r="AM117" s="176">
        <f t="shared" si="141"/>
        <v>0.37495568370254495</v>
      </c>
      <c r="AN117" s="177">
        <f t="shared" si="141"/>
        <v>0.63146192291823966</v>
      </c>
      <c r="AO117" s="175">
        <f t="shared" si="141"/>
        <v>0.36853807708176034</v>
      </c>
      <c r="AP117" s="62"/>
      <c r="AT117" s="63"/>
      <c r="AV117" s="15"/>
      <c r="AW117" s="15"/>
      <c r="AX117" s="15"/>
      <c r="AY117" s="147"/>
      <c r="AZ117" s="175">
        <v>3.2495055013928312E-2</v>
      </c>
      <c r="BA117" s="15"/>
      <c r="BB117" s="147"/>
      <c r="BC117" s="176">
        <v>0.36070342157905755</v>
      </c>
      <c r="BD117" s="15"/>
      <c r="BE117" s="147"/>
      <c r="BF117" s="18">
        <v>24.196716411969504</v>
      </c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</row>
    <row r="118" spans="1:71" ht="14.5" x14ac:dyDescent="0.35">
      <c r="A118" s="7"/>
      <c r="B118" s="64" t="s">
        <v>372</v>
      </c>
      <c r="C118" s="7"/>
      <c r="D118" s="7"/>
      <c r="E118" s="7"/>
      <c r="F118" s="64" t="s">
        <v>372</v>
      </c>
      <c r="G118" s="178">
        <f t="shared" ref="G118:I118" si="142">AVERAGE(G2:G115)</f>
        <v>3.3039669183627693</v>
      </c>
      <c r="H118" s="178">
        <f t="shared" si="142"/>
        <v>1.8451672850768639</v>
      </c>
      <c r="I118" s="178">
        <f t="shared" si="142"/>
        <v>5.0692640866577694</v>
      </c>
      <c r="J118" s="169"/>
      <c r="K118" s="7"/>
      <c r="L118" s="147"/>
      <c r="M118" s="7"/>
      <c r="N118" s="147"/>
      <c r="O118" s="7"/>
      <c r="P118" s="147"/>
      <c r="Q118" s="7"/>
      <c r="R118" s="7"/>
      <c r="S118" s="64" t="s">
        <v>372</v>
      </c>
      <c r="T118" s="65">
        <f>AVERAGE(T2:T115)</f>
        <v>36.436936936936938</v>
      </c>
      <c r="U118" s="7"/>
      <c r="V118" s="7"/>
      <c r="W118" s="7"/>
      <c r="X118" s="170"/>
      <c r="Y118" s="64" t="s">
        <v>372</v>
      </c>
      <c r="Z118" s="65">
        <f t="shared" ref="Z118:AO118" si="143">AVERAGE(Z2:Z115)</f>
        <v>2426188476.1199431</v>
      </c>
      <c r="AA118" s="179">
        <f t="shared" si="143"/>
        <v>1371957400.4236567</v>
      </c>
      <c r="AB118" s="180">
        <f t="shared" si="143"/>
        <v>3798145876.5435991</v>
      </c>
      <c r="AC118" s="66">
        <f t="shared" si="143"/>
        <v>35.427211873475756</v>
      </c>
      <c r="AD118" s="154">
        <f t="shared" si="143"/>
        <v>34688893167.823593</v>
      </c>
      <c r="AE118" s="179">
        <f t="shared" si="143"/>
        <v>17282746872.086395</v>
      </c>
      <c r="AF118" s="155">
        <f t="shared" si="143"/>
        <v>51971640039.910011</v>
      </c>
      <c r="AG118" s="151">
        <f t="shared" si="143"/>
        <v>3.1463494382368978E-2</v>
      </c>
      <c r="AH118" s="152">
        <f t="shared" si="143"/>
        <v>1.8204044399061647E-2</v>
      </c>
      <c r="AI118" s="153">
        <f t="shared" si="143"/>
        <v>4.9667538781430633E-2</v>
      </c>
      <c r="AJ118" s="154">
        <f t="shared" si="143"/>
        <v>1263639.8313124699</v>
      </c>
      <c r="AK118" s="179">
        <f t="shared" si="143"/>
        <v>714561.14605398872</v>
      </c>
      <c r="AL118" s="155">
        <f t="shared" si="143"/>
        <v>1978200.9773664582</v>
      </c>
      <c r="AM118" s="156">
        <f t="shared" si="143"/>
        <v>0.38572702292325689</v>
      </c>
      <c r="AN118" s="181">
        <f t="shared" si="143"/>
        <v>0.64155955811832599</v>
      </c>
      <c r="AO118" s="153">
        <f t="shared" si="143"/>
        <v>0.35844044188167407</v>
      </c>
      <c r="AP118" s="62"/>
      <c r="AT118" s="63"/>
      <c r="AV118" s="15"/>
      <c r="AW118" s="15"/>
      <c r="AX118" s="15"/>
      <c r="AY118" s="147"/>
      <c r="AZ118" s="153">
        <v>4.6093541691300151E-2</v>
      </c>
      <c r="BA118" s="15"/>
      <c r="BB118" s="147"/>
      <c r="BC118" s="156">
        <v>0.35284762102735023</v>
      </c>
      <c r="BD118" s="15"/>
      <c r="BE118" s="147"/>
      <c r="BF118" s="66">
        <v>34.400914402168496</v>
      </c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</row>
    <row r="119" spans="1:71" ht="14.5" x14ac:dyDescent="0.35">
      <c r="A119" s="7"/>
      <c r="B119" s="67" t="s">
        <v>373</v>
      </c>
      <c r="C119" s="7"/>
      <c r="D119" s="7"/>
      <c r="E119" s="7"/>
      <c r="F119" s="67" t="s">
        <v>373</v>
      </c>
      <c r="G119" s="182">
        <f t="shared" ref="G119:I119" si="144">MIN(G2:G115)</f>
        <v>0.82496972969924398</v>
      </c>
      <c r="H119" s="182">
        <f t="shared" si="144"/>
        <v>0.438049873050679</v>
      </c>
      <c r="I119" s="182">
        <f t="shared" si="144"/>
        <v>1</v>
      </c>
      <c r="J119" s="169"/>
      <c r="K119" s="7"/>
      <c r="L119" s="147"/>
      <c r="M119" s="7"/>
      <c r="N119" s="147"/>
      <c r="O119" s="7"/>
      <c r="P119" s="147"/>
      <c r="Q119" s="7"/>
      <c r="R119" s="7"/>
      <c r="S119" s="67" t="s">
        <v>373</v>
      </c>
      <c r="T119" s="68">
        <f>MIN(T2:T115)</f>
        <v>24.1</v>
      </c>
      <c r="U119" s="7"/>
      <c r="V119" s="7"/>
      <c r="W119" s="7"/>
      <c r="X119" s="170"/>
      <c r="Y119" s="67" t="s">
        <v>373</v>
      </c>
      <c r="Z119" s="68">
        <f t="shared" ref="Z119:AO119" si="145">MIN(Z2:Z115)</f>
        <v>28444175.027632087</v>
      </c>
      <c r="AA119" s="183">
        <f t="shared" si="145"/>
        <v>20541650.587758318</v>
      </c>
      <c r="AB119" s="184">
        <f t="shared" si="145"/>
        <v>51190062.693568714</v>
      </c>
      <c r="AC119" s="10">
        <f t="shared" si="145"/>
        <v>8.410557562573036</v>
      </c>
      <c r="AD119" s="185">
        <f t="shared" si="145"/>
        <v>57585232.343441166</v>
      </c>
      <c r="AE119" s="183">
        <f t="shared" si="145"/>
        <v>35343604.133846313</v>
      </c>
      <c r="AF119" s="186">
        <f t="shared" si="145"/>
        <v>99770803.064563423</v>
      </c>
      <c r="AG119" s="187">
        <f t="shared" si="145"/>
        <v>4.7353154637104827E-3</v>
      </c>
      <c r="AH119" s="188">
        <f t="shared" si="145"/>
        <v>1.8706578052327472E-3</v>
      </c>
      <c r="AI119" s="189">
        <f t="shared" si="145"/>
        <v>7.4420828851001364E-3</v>
      </c>
      <c r="AJ119" s="185">
        <f t="shared" si="145"/>
        <v>14814.674493558379</v>
      </c>
      <c r="AK119" s="183">
        <f t="shared" si="145"/>
        <v>10698.77634779079</v>
      </c>
      <c r="AL119" s="186">
        <f t="shared" si="145"/>
        <v>26661.490986233708</v>
      </c>
      <c r="AM119" s="176">
        <f t="shared" si="145"/>
        <v>0.15221478238078681</v>
      </c>
      <c r="AN119" s="190">
        <f t="shared" si="145"/>
        <v>0.44987974182225876</v>
      </c>
      <c r="AO119" s="189">
        <f t="shared" si="145"/>
        <v>0.15221478238078684</v>
      </c>
      <c r="AP119" s="62"/>
      <c r="AT119" s="63"/>
      <c r="AV119" s="15"/>
      <c r="AW119" s="15"/>
      <c r="AX119" s="15"/>
      <c r="AY119" s="147"/>
      <c r="AZ119" s="189">
        <v>7.4420828851001364E-3</v>
      </c>
      <c r="BA119" s="15"/>
      <c r="BB119" s="147"/>
      <c r="BC119" s="176">
        <v>0.15221478238078681</v>
      </c>
      <c r="BD119" s="15"/>
      <c r="BE119" s="147"/>
      <c r="BF119" s="10">
        <v>8.410557562573036</v>
      </c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</row>
    <row r="120" spans="1:71" ht="14.5" x14ac:dyDescent="0.35">
      <c r="A120" s="7"/>
      <c r="B120" s="69" t="s">
        <v>374</v>
      </c>
      <c r="C120" s="7"/>
      <c r="D120" s="7"/>
      <c r="E120" s="7"/>
      <c r="F120" s="69" t="s">
        <v>374</v>
      </c>
      <c r="G120" s="191">
        <f t="shared" ref="G120:I120" si="146">MAX(G2:G115)</f>
        <v>9.8371537721182296</v>
      </c>
      <c r="H120" s="191">
        <f t="shared" si="146"/>
        <v>6.1374828552974998</v>
      </c>
      <c r="I120" s="191">
        <f t="shared" si="146"/>
        <v>17.399999999999999</v>
      </c>
      <c r="J120" s="169"/>
      <c r="K120" s="7"/>
      <c r="L120" s="147"/>
      <c r="M120" s="7"/>
      <c r="N120" s="147"/>
      <c r="O120" s="7"/>
      <c r="P120" s="147"/>
      <c r="Q120" s="7"/>
      <c r="R120" s="7"/>
      <c r="S120" s="69" t="s">
        <v>374</v>
      </c>
      <c r="T120" s="70">
        <f>MAX(T2:T115)</f>
        <v>63</v>
      </c>
      <c r="U120" s="7"/>
      <c r="V120" s="7"/>
      <c r="W120" s="7"/>
      <c r="X120" s="170"/>
      <c r="Y120" s="64" t="s">
        <v>374</v>
      </c>
      <c r="Z120" s="70">
        <f t="shared" ref="Z120:AO120" si="147">MAX(Z2:Z115)</f>
        <v>44506755586.245544</v>
      </c>
      <c r="AA120" s="192">
        <f t="shared" si="147"/>
        <v>32702256525.485126</v>
      </c>
      <c r="AB120" s="193">
        <f t="shared" si="147"/>
        <v>71278936123.224762</v>
      </c>
      <c r="AC120" s="71">
        <f t="shared" si="147"/>
        <v>117.83967082171201</v>
      </c>
      <c r="AD120" s="194">
        <f t="shared" si="147"/>
        <v>1845917687939.5339</v>
      </c>
      <c r="AE120" s="192">
        <f t="shared" si="147"/>
        <v>911829459949.63013</v>
      </c>
      <c r="AF120" s="195">
        <f t="shared" si="147"/>
        <v>2757747147889.1641</v>
      </c>
      <c r="AG120" s="196">
        <f t="shared" si="147"/>
        <v>9.5056492138946264E-2</v>
      </c>
      <c r="AH120" s="197">
        <f t="shared" si="147"/>
        <v>6.3102571785860484E-2</v>
      </c>
      <c r="AI120" s="198">
        <f t="shared" si="147"/>
        <v>0.15187623514085369</v>
      </c>
      <c r="AJ120" s="194">
        <f t="shared" si="147"/>
        <v>23180601.867836218</v>
      </c>
      <c r="AK120" s="192">
        <f t="shared" si="147"/>
        <v>17032425.273690172</v>
      </c>
      <c r="AL120" s="195">
        <f t="shared" si="147"/>
        <v>37124445.897512898</v>
      </c>
      <c r="AM120" s="199">
        <f t="shared" si="147"/>
        <v>0.72667295717713198</v>
      </c>
      <c r="AN120" s="200">
        <f t="shared" si="147"/>
        <v>0.84778521761921311</v>
      </c>
      <c r="AO120" s="198">
        <f t="shared" si="147"/>
        <v>0.55012025817774113</v>
      </c>
      <c r="AP120" s="62"/>
      <c r="AT120" s="63"/>
      <c r="AV120" s="15"/>
      <c r="AW120" s="15"/>
      <c r="AX120" s="15"/>
      <c r="AY120" s="147"/>
      <c r="AZ120" s="198">
        <v>0.1407741927620775</v>
      </c>
      <c r="BA120" s="15"/>
      <c r="BB120" s="147"/>
      <c r="BC120" s="199">
        <v>0.55012025817774113</v>
      </c>
      <c r="BD120" s="15"/>
      <c r="BE120" s="147"/>
      <c r="BF120" s="71">
        <v>117.83967082171201</v>
      </c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</row>
    <row r="121" spans="1:71" ht="14.5" x14ac:dyDescent="0.35">
      <c r="A121" s="7"/>
      <c r="B121" s="72" t="s">
        <v>375</v>
      </c>
      <c r="C121" s="81"/>
      <c r="D121" s="81"/>
      <c r="E121" s="81"/>
      <c r="F121" s="72" t="s">
        <v>375</v>
      </c>
      <c r="G121" s="73">
        <f t="shared" ref="G121:I121" si="148">QUARTILE(G2:G115,1)</f>
        <v>1.7280896029892774</v>
      </c>
      <c r="H121" s="73">
        <f t="shared" si="148"/>
        <v>0.9918126980225852</v>
      </c>
      <c r="I121" s="73">
        <f t="shared" si="148"/>
        <v>2.6919163664090751</v>
      </c>
      <c r="J121" s="201"/>
      <c r="K121" s="81"/>
      <c r="L121" s="202"/>
      <c r="M121" s="81"/>
      <c r="N121" s="202"/>
      <c r="O121" s="81"/>
      <c r="P121" s="202"/>
      <c r="Q121" s="81"/>
      <c r="R121" s="81"/>
      <c r="S121" s="72" t="s">
        <v>375</v>
      </c>
      <c r="T121" s="73">
        <f>QUARTILE(T2:T115,1)</f>
        <v>31.8</v>
      </c>
      <c r="U121" s="81"/>
      <c r="V121" s="81"/>
      <c r="W121" s="81"/>
      <c r="X121" s="203"/>
      <c r="Y121" s="72" t="s">
        <v>375</v>
      </c>
      <c r="Z121" s="73">
        <f t="shared" ref="Z121:AO121" si="149">QUARTILE(Z2:Z115,1)</f>
        <v>237896317.97235009</v>
      </c>
      <c r="AA121" s="74">
        <f t="shared" si="149"/>
        <v>132120168.64003289</v>
      </c>
      <c r="AB121" s="74">
        <f t="shared" si="149"/>
        <v>358594936.41153705</v>
      </c>
      <c r="AC121" s="74">
        <f t="shared" si="149"/>
        <v>19.042803802033635</v>
      </c>
      <c r="AD121" s="74">
        <f t="shared" si="149"/>
        <v>619313559.44446933</v>
      </c>
      <c r="AE121" s="74">
        <f t="shared" si="149"/>
        <v>319473148.7547757</v>
      </c>
      <c r="AF121" s="74">
        <f t="shared" si="149"/>
        <v>977971461.81875992</v>
      </c>
      <c r="AG121" s="204">
        <f t="shared" si="149"/>
        <v>1.4704142850710521E-2</v>
      </c>
      <c r="AH121" s="205">
        <f t="shared" si="149"/>
        <v>7.0457745681316679E-3</v>
      </c>
      <c r="AI121" s="206">
        <f t="shared" si="149"/>
        <v>2.2015221679418037E-2</v>
      </c>
      <c r="AJ121" s="74">
        <f t="shared" si="149"/>
        <v>123904.33227726567</v>
      </c>
      <c r="AK121" s="74">
        <f t="shared" si="149"/>
        <v>68812.587833350466</v>
      </c>
      <c r="AL121" s="74">
        <f t="shared" si="149"/>
        <v>186768.19604767553</v>
      </c>
      <c r="AM121" s="207">
        <f t="shared" si="149"/>
        <v>0.31929031785250273</v>
      </c>
      <c r="AN121" s="208">
        <f t="shared" si="149"/>
        <v>0.59052078221547744</v>
      </c>
      <c r="AO121" s="206">
        <f t="shared" si="149"/>
        <v>0.31516490256830387</v>
      </c>
      <c r="AP121" s="75"/>
      <c r="AQ121" s="76"/>
      <c r="AR121" s="76"/>
      <c r="AS121" s="76"/>
      <c r="AT121" s="77"/>
      <c r="AU121" s="76"/>
      <c r="AV121" s="78"/>
      <c r="AW121" s="78"/>
      <c r="AX121" s="78"/>
      <c r="AY121" s="202"/>
      <c r="AZ121" s="206">
        <v>2.1228811054534526E-2</v>
      </c>
      <c r="BA121" s="78"/>
      <c r="BB121" s="202"/>
      <c r="BC121" s="207">
        <v>0.30929210233414389</v>
      </c>
      <c r="BD121" s="78"/>
      <c r="BE121" s="202"/>
      <c r="BF121" s="74">
        <v>18.898107619629613</v>
      </c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</row>
    <row r="122" spans="1:71" ht="14.5" x14ac:dyDescent="0.35">
      <c r="A122" s="7"/>
      <c r="B122" s="72" t="s">
        <v>376</v>
      </c>
      <c r="C122" s="81"/>
      <c r="D122" s="81"/>
      <c r="E122" s="81"/>
      <c r="F122" s="72" t="s">
        <v>376</v>
      </c>
      <c r="G122" s="79">
        <f t="shared" ref="G122:I122" si="150">QUARTILE(G2:G115,3)</f>
        <v>4.1030428638072731</v>
      </c>
      <c r="H122" s="79">
        <f t="shared" si="150"/>
        <v>2.2643203831154999</v>
      </c>
      <c r="I122" s="79">
        <f t="shared" si="150"/>
        <v>6.3690776630874257</v>
      </c>
      <c r="J122" s="201"/>
      <c r="K122" s="81"/>
      <c r="L122" s="202"/>
      <c r="M122" s="81"/>
      <c r="N122" s="202"/>
      <c r="O122" s="81"/>
      <c r="P122" s="202"/>
      <c r="Q122" s="81"/>
      <c r="R122" s="81"/>
      <c r="S122" s="72" t="s">
        <v>376</v>
      </c>
      <c r="T122" s="79">
        <f>QUARTILE(T2:T115,3)</f>
        <v>40.650000000000006</v>
      </c>
      <c r="U122" s="81"/>
      <c r="V122" s="81"/>
      <c r="W122" s="81"/>
      <c r="X122" s="203"/>
      <c r="Y122" s="72" t="s">
        <v>376</v>
      </c>
      <c r="Z122" s="79">
        <f t="shared" ref="Z122:AO122" si="151">QUARTILE(Z2:Z115,3)</f>
        <v>1961662188.806433</v>
      </c>
      <c r="AA122" s="80">
        <f t="shared" si="151"/>
        <v>981755750.56296456</v>
      </c>
      <c r="AB122" s="80">
        <f t="shared" si="151"/>
        <v>2856535751.8011856</v>
      </c>
      <c r="AC122" s="80">
        <f t="shared" si="151"/>
        <v>43.474951355817595</v>
      </c>
      <c r="AD122" s="80">
        <f t="shared" si="151"/>
        <v>8391417960.3588085</v>
      </c>
      <c r="AE122" s="80">
        <f t="shared" si="151"/>
        <v>5414428550.9532909</v>
      </c>
      <c r="AF122" s="80">
        <f t="shared" si="151"/>
        <v>14213102239.983253</v>
      </c>
      <c r="AG122" s="209">
        <f t="shared" si="151"/>
        <v>4.3227251448469173E-2</v>
      </c>
      <c r="AH122" s="210">
        <f t="shared" si="151"/>
        <v>2.5199379513213247E-2</v>
      </c>
      <c r="AI122" s="211">
        <f t="shared" si="151"/>
        <v>7.4368823756627539E-2</v>
      </c>
      <c r="AJ122" s="80">
        <f t="shared" si="151"/>
        <v>1021699.0566700172</v>
      </c>
      <c r="AK122" s="80">
        <f t="shared" si="151"/>
        <v>511331.12008487736</v>
      </c>
      <c r="AL122" s="80">
        <f t="shared" si="151"/>
        <v>1487779.037396451</v>
      </c>
      <c r="AM122" s="212">
        <f t="shared" si="151"/>
        <v>0.42903557723964592</v>
      </c>
      <c r="AN122" s="213">
        <f t="shared" si="151"/>
        <v>0.68483509743169613</v>
      </c>
      <c r="AO122" s="211">
        <f t="shared" si="151"/>
        <v>0.40947921778452256</v>
      </c>
      <c r="AP122" s="75"/>
      <c r="AQ122" s="76"/>
      <c r="AR122" s="76"/>
      <c r="AS122" s="76"/>
      <c r="AT122" s="77"/>
      <c r="AU122" s="76"/>
      <c r="AV122" s="78"/>
      <c r="AW122" s="78"/>
      <c r="AX122" s="78"/>
      <c r="AY122" s="202"/>
      <c r="AZ122" s="211">
        <v>6.6618760733820406E-2</v>
      </c>
      <c r="BA122" s="78"/>
      <c r="BB122" s="202"/>
      <c r="BC122" s="212">
        <v>0.40644041306404866</v>
      </c>
      <c r="BD122" s="78"/>
      <c r="BE122" s="202"/>
      <c r="BF122" s="80">
        <v>42.796813185376905</v>
      </c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</row>
    <row r="123" spans="1:71" ht="14.5" x14ac:dyDescent="0.35">
      <c r="A123" s="7"/>
      <c r="B123" s="81"/>
      <c r="C123" s="81"/>
      <c r="D123" s="81"/>
      <c r="E123" s="81"/>
      <c r="F123" s="81"/>
      <c r="G123" s="81"/>
      <c r="H123" s="81"/>
      <c r="I123" s="81"/>
      <c r="J123" s="201"/>
      <c r="K123" s="81"/>
      <c r="L123" s="202"/>
      <c r="M123" s="81"/>
      <c r="N123" s="202"/>
      <c r="O123" s="81"/>
      <c r="P123" s="202"/>
      <c r="Q123" s="81"/>
      <c r="R123" s="81"/>
      <c r="S123" s="81"/>
      <c r="T123" s="82"/>
      <c r="U123" s="81"/>
      <c r="V123" s="81"/>
      <c r="W123" s="81"/>
      <c r="X123" s="203"/>
      <c r="Y123" s="81"/>
      <c r="Z123" s="82"/>
      <c r="AA123" s="82"/>
      <c r="AB123" s="82"/>
      <c r="AC123" s="82"/>
      <c r="AD123" s="82"/>
      <c r="AE123" s="82"/>
      <c r="AF123" s="82"/>
      <c r="AG123" s="214"/>
      <c r="AH123" s="214"/>
      <c r="AI123" s="214"/>
      <c r="AJ123" s="82"/>
      <c r="AK123" s="82"/>
      <c r="AL123" s="82"/>
      <c r="AM123" s="214"/>
      <c r="AN123" s="214"/>
      <c r="AO123" s="214"/>
      <c r="AP123" s="75"/>
      <c r="AQ123" s="76"/>
      <c r="AR123" s="76"/>
      <c r="AS123" s="76"/>
      <c r="AT123" s="77"/>
      <c r="AU123" s="76"/>
      <c r="AV123" s="78"/>
      <c r="AW123" s="78"/>
      <c r="AX123" s="78"/>
      <c r="AY123" s="202"/>
      <c r="AZ123" s="214"/>
      <c r="BA123" s="78"/>
      <c r="BB123" s="202"/>
      <c r="BC123" s="214"/>
      <c r="BD123" s="78"/>
      <c r="BE123" s="202"/>
      <c r="BF123" s="82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</row>
    <row r="124" spans="1:71" ht="14.5" x14ac:dyDescent="0.35">
      <c r="A124" s="7"/>
      <c r="B124" s="81"/>
      <c r="C124" s="81"/>
      <c r="D124" s="81"/>
      <c r="E124" s="81"/>
      <c r="F124" s="81"/>
      <c r="G124" s="81"/>
      <c r="H124" s="81"/>
      <c r="I124" s="81"/>
      <c r="J124" s="201"/>
      <c r="K124" s="81"/>
      <c r="L124" s="202"/>
      <c r="M124" s="81"/>
      <c r="N124" s="202"/>
      <c r="O124" s="81"/>
      <c r="P124" s="202"/>
      <c r="Q124" s="81"/>
      <c r="R124" s="81"/>
      <c r="S124" s="81"/>
      <c r="T124" s="82"/>
      <c r="U124" s="81"/>
      <c r="V124" s="81"/>
      <c r="W124" s="81"/>
      <c r="X124" s="203"/>
      <c r="Y124" s="81"/>
      <c r="Z124" s="82"/>
      <c r="AA124" s="82"/>
      <c r="AB124" s="82"/>
      <c r="AC124" s="82"/>
      <c r="AD124" s="82"/>
      <c r="AE124" s="82"/>
      <c r="AF124" s="82"/>
      <c r="AG124" s="214"/>
      <c r="AH124" s="214"/>
      <c r="AI124" s="214"/>
      <c r="AJ124" s="82"/>
      <c r="AK124" s="82"/>
      <c r="AL124" s="82"/>
      <c r="AM124" s="214"/>
      <c r="AN124" s="214"/>
      <c r="AO124" s="214"/>
      <c r="AP124" s="75"/>
      <c r="AQ124" s="76"/>
      <c r="AR124" s="76"/>
      <c r="AS124" s="76"/>
      <c r="AT124" s="77"/>
      <c r="AU124" s="76"/>
      <c r="AV124" s="78"/>
      <c r="AW124" s="78"/>
      <c r="AX124" s="78"/>
      <c r="AY124" s="202"/>
      <c r="AZ124" s="214"/>
      <c r="BA124" s="78"/>
      <c r="BB124" s="202"/>
      <c r="BC124" s="214"/>
      <c r="BD124" s="78"/>
      <c r="BE124" s="202"/>
      <c r="BF124" s="82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</row>
    <row r="125" spans="1:71" ht="14.5" x14ac:dyDescent="0.35">
      <c r="A125" s="7"/>
      <c r="B125" s="81"/>
      <c r="C125" s="81"/>
      <c r="D125" s="81"/>
      <c r="E125" s="81"/>
      <c r="F125" s="81"/>
      <c r="G125" s="81"/>
      <c r="H125" s="81"/>
      <c r="I125" s="81"/>
      <c r="J125" s="201"/>
      <c r="K125" s="81"/>
      <c r="L125" s="202"/>
      <c r="M125" s="81"/>
      <c r="N125" s="202"/>
      <c r="O125" s="81"/>
      <c r="P125" s="202"/>
      <c r="Q125" s="81"/>
      <c r="R125" s="81"/>
      <c r="S125" s="81"/>
      <c r="T125" s="82"/>
      <c r="U125" s="81"/>
      <c r="V125" s="81"/>
      <c r="W125" s="81"/>
      <c r="X125" s="203"/>
      <c r="Y125" s="81"/>
      <c r="Z125" s="82"/>
      <c r="AA125" s="82"/>
      <c r="AB125" s="82"/>
      <c r="AC125" s="82"/>
      <c r="AD125" s="82"/>
      <c r="AE125" s="82"/>
      <c r="AF125" s="82"/>
      <c r="AG125" s="214"/>
      <c r="AH125" s="214"/>
      <c r="AI125" s="214"/>
      <c r="AJ125" s="82"/>
      <c r="AK125" s="82"/>
      <c r="AL125" s="82"/>
      <c r="AM125" s="214"/>
      <c r="AN125" s="214"/>
      <c r="AO125" s="214"/>
      <c r="AP125" s="75"/>
      <c r="AQ125" s="76"/>
      <c r="AR125" s="76"/>
      <c r="AS125" s="76"/>
      <c r="AT125" s="77"/>
      <c r="AU125" s="76"/>
      <c r="AV125" s="78"/>
      <c r="AW125" s="78"/>
      <c r="AX125" s="78"/>
      <c r="AY125" s="202"/>
      <c r="AZ125" s="214"/>
      <c r="BA125" s="78"/>
      <c r="BB125" s="202"/>
      <c r="BC125" s="214"/>
      <c r="BD125" s="78"/>
      <c r="BE125" s="202"/>
      <c r="BF125" s="82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</row>
    <row r="126" spans="1:71" ht="14.5" x14ac:dyDescent="0.35">
      <c r="A126" s="7"/>
      <c r="B126" s="81"/>
      <c r="C126" s="81"/>
      <c r="D126" s="81"/>
      <c r="E126" s="81"/>
      <c r="F126" s="81"/>
      <c r="G126" s="81"/>
      <c r="H126" s="81"/>
      <c r="I126" s="81"/>
      <c r="J126" s="201"/>
      <c r="K126" s="81"/>
      <c r="L126" s="202"/>
      <c r="M126" s="81"/>
      <c r="N126" s="202"/>
      <c r="O126" s="81"/>
      <c r="P126" s="202"/>
      <c r="Q126" s="81"/>
      <c r="R126" s="81"/>
      <c r="S126" s="81"/>
      <c r="T126" s="82"/>
      <c r="U126" s="81"/>
      <c r="V126" s="81"/>
      <c r="W126" s="81"/>
      <c r="X126" s="203"/>
      <c r="Y126" s="81"/>
      <c r="Z126" s="82"/>
      <c r="AA126" s="82"/>
      <c r="AB126" s="82"/>
      <c r="AC126" s="82"/>
      <c r="AD126" s="82"/>
      <c r="AE126" s="82"/>
      <c r="AF126" s="82"/>
      <c r="AG126" s="214"/>
      <c r="AH126" s="214"/>
      <c r="AI126" s="214"/>
      <c r="AJ126" s="82"/>
      <c r="AK126" s="82"/>
      <c r="AL126" s="82"/>
      <c r="AM126" s="214"/>
      <c r="AN126" s="214"/>
      <c r="AO126" s="214"/>
      <c r="AP126" s="75"/>
      <c r="AQ126" s="76"/>
      <c r="AR126" s="76"/>
      <c r="AS126" s="76"/>
      <c r="AT126" s="77"/>
      <c r="AU126" s="76"/>
      <c r="AV126" s="78"/>
      <c r="AW126" s="78"/>
      <c r="AX126" s="78"/>
      <c r="AY126" s="202"/>
      <c r="AZ126" s="214"/>
      <c r="BA126" s="78"/>
      <c r="BB126" s="202"/>
      <c r="BC126" s="214"/>
      <c r="BD126" s="78"/>
      <c r="BE126" s="202"/>
      <c r="BF126" s="82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</row>
    <row r="127" spans="1:71" ht="14.5" x14ac:dyDescent="0.35">
      <c r="A127" s="7"/>
      <c r="B127" s="81"/>
      <c r="C127" s="81"/>
      <c r="D127" s="81"/>
      <c r="E127" s="81"/>
      <c r="F127" s="81"/>
      <c r="G127" s="81"/>
      <c r="H127" s="81"/>
      <c r="I127" s="81"/>
      <c r="J127" s="201"/>
      <c r="K127" s="81"/>
      <c r="L127" s="202"/>
      <c r="M127" s="81"/>
      <c r="N127" s="202"/>
      <c r="O127" s="81"/>
      <c r="P127" s="202"/>
      <c r="Q127" s="81"/>
      <c r="R127" s="81"/>
      <c r="S127" s="81"/>
      <c r="T127" s="82"/>
      <c r="U127" s="81"/>
      <c r="V127" s="81"/>
      <c r="W127" s="81"/>
      <c r="X127" s="203"/>
      <c r="Y127" s="81"/>
      <c r="Z127" s="82"/>
      <c r="AA127" s="82"/>
      <c r="AB127" s="82"/>
      <c r="AC127" s="82"/>
      <c r="AD127" s="82"/>
      <c r="AE127" s="82"/>
      <c r="AF127" s="82"/>
      <c r="AG127" s="214"/>
      <c r="AH127" s="214"/>
      <c r="AI127" s="214"/>
      <c r="AJ127" s="82"/>
      <c r="AK127" s="82"/>
      <c r="AL127" s="82"/>
      <c r="AM127" s="214"/>
      <c r="AN127" s="214"/>
      <c r="AO127" s="214"/>
      <c r="AP127" s="75"/>
      <c r="AQ127" s="76"/>
      <c r="AR127" s="76"/>
      <c r="AS127" s="76"/>
      <c r="AT127" s="77"/>
      <c r="AU127" s="76"/>
      <c r="AV127" s="78"/>
      <c r="AW127" s="78"/>
      <c r="AX127" s="78"/>
      <c r="AY127" s="202"/>
      <c r="AZ127" s="214"/>
      <c r="BA127" s="78"/>
      <c r="BB127" s="202"/>
      <c r="BC127" s="214"/>
      <c r="BD127" s="78"/>
      <c r="BE127" s="202"/>
      <c r="BF127" s="82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</row>
    <row r="128" spans="1:71" ht="14.5" x14ac:dyDescent="0.35">
      <c r="A128" s="7"/>
      <c r="B128" s="81"/>
      <c r="C128" s="81"/>
      <c r="D128" s="81"/>
      <c r="E128" s="81"/>
      <c r="F128" s="81"/>
      <c r="G128" s="81"/>
      <c r="H128" s="81"/>
      <c r="I128" s="81"/>
      <c r="J128" s="201"/>
      <c r="K128" s="81"/>
      <c r="L128" s="202"/>
      <c r="M128" s="81"/>
      <c r="N128" s="202"/>
      <c r="O128" s="81"/>
      <c r="P128" s="202"/>
      <c r="Q128" s="81"/>
      <c r="R128" s="81"/>
      <c r="S128" s="81"/>
      <c r="T128" s="82"/>
      <c r="U128" s="81"/>
      <c r="V128" s="81"/>
      <c r="W128" s="81"/>
      <c r="X128" s="203"/>
      <c r="Y128" s="81"/>
      <c r="Z128" s="82"/>
      <c r="AA128" s="82"/>
      <c r="AB128" s="82"/>
      <c r="AC128" s="82"/>
      <c r="AD128" s="82"/>
      <c r="AE128" s="82"/>
      <c r="AF128" s="82"/>
      <c r="AG128" s="214"/>
      <c r="AH128" s="214"/>
      <c r="AI128" s="214"/>
      <c r="AJ128" s="82"/>
      <c r="AK128" s="82"/>
      <c r="AL128" s="82"/>
      <c r="AM128" s="214"/>
      <c r="AN128" s="214"/>
      <c r="AO128" s="214"/>
      <c r="AP128" s="75"/>
      <c r="AQ128" s="76"/>
      <c r="AR128" s="76"/>
      <c r="AS128" s="76"/>
      <c r="AT128" s="77"/>
      <c r="AU128" s="76"/>
      <c r="AV128" s="78"/>
      <c r="AW128" s="78"/>
      <c r="AX128" s="78"/>
      <c r="AY128" s="202"/>
      <c r="AZ128" s="214"/>
      <c r="BA128" s="78"/>
      <c r="BB128" s="202"/>
      <c r="BC128" s="214"/>
      <c r="BD128" s="78"/>
      <c r="BE128" s="202"/>
      <c r="BF128" s="82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</row>
    <row r="129" spans="1:71" ht="14.5" x14ac:dyDescent="0.35">
      <c r="A129" s="7"/>
      <c r="B129" s="81"/>
      <c r="C129" s="81"/>
      <c r="D129" s="81"/>
      <c r="E129" s="81"/>
      <c r="F129" s="81"/>
      <c r="G129" s="81"/>
      <c r="H129" s="81"/>
      <c r="I129" s="81"/>
      <c r="J129" s="201"/>
      <c r="K129" s="81"/>
      <c r="L129" s="202"/>
      <c r="M129" s="81"/>
      <c r="N129" s="202"/>
      <c r="O129" s="81"/>
      <c r="P129" s="202"/>
      <c r="Q129" s="81"/>
      <c r="R129" s="81"/>
      <c r="S129" s="81"/>
      <c r="T129" s="82"/>
      <c r="U129" s="81"/>
      <c r="V129" s="81"/>
      <c r="W129" s="81"/>
      <c r="X129" s="203"/>
      <c r="Y129" s="81"/>
      <c r="Z129" s="82"/>
      <c r="AA129" s="82"/>
      <c r="AB129" s="82"/>
      <c r="AC129" s="82"/>
      <c r="AD129" s="82"/>
      <c r="AE129" s="82"/>
      <c r="AF129" s="82"/>
      <c r="AG129" s="214"/>
      <c r="AH129" s="214"/>
      <c r="AI129" s="214"/>
      <c r="AJ129" s="82"/>
      <c r="AK129" s="82"/>
      <c r="AL129" s="82"/>
      <c r="AM129" s="214"/>
      <c r="AN129" s="214"/>
      <c r="AO129" s="214"/>
      <c r="AP129" s="75"/>
      <c r="AQ129" s="76"/>
      <c r="AR129" s="76"/>
      <c r="AS129" s="76"/>
      <c r="AT129" s="77"/>
      <c r="AU129" s="76"/>
      <c r="AV129" s="78"/>
      <c r="AW129" s="78"/>
      <c r="AX129" s="78"/>
      <c r="AY129" s="202"/>
      <c r="AZ129" s="214"/>
      <c r="BA129" s="78"/>
      <c r="BB129" s="202"/>
      <c r="BC129" s="214"/>
      <c r="BD129" s="78"/>
      <c r="BE129" s="202"/>
      <c r="BF129" s="82"/>
      <c r="BG129" s="78"/>
      <c r="BH129" s="78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</row>
    <row r="130" spans="1:71" ht="14.5" x14ac:dyDescent="0.35">
      <c r="A130" s="7"/>
      <c r="B130" s="81"/>
      <c r="C130" s="81"/>
      <c r="D130" s="81"/>
      <c r="E130" s="81"/>
      <c r="F130" s="81"/>
      <c r="G130" s="81"/>
      <c r="H130" s="81"/>
      <c r="I130" s="81"/>
      <c r="J130" s="201"/>
      <c r="K130" s="81"/>
      <c r="L130" s="202"/>
      <c r="M130" s="81"/>
      <c r="N130" s="202"/>
      <c r="O130" s="81"/>
      <c r="P130" s="202"/>
      <c r="Q130" s="81"/>
      <c r="R130" s="81"/>
      <c r="S130" s="81"/>
      <c r="T130" s="82"/>
      <c r="U130" s="81"/>
      <c r="V130" s="81"/>
      <c r="W130" s="81"/>
      <c r="X130" s="203"/>
      <c r="Y130" s="81"/>
      <c r="Z130" s="82"/>
      <c r="AA130" s="82"/>
      <c r="AB130" s="82"/>
      <c r="AC130" s="82"/>
      <c r="AD130" s="82"/>
      <c r="AE130" s="82"/>
      <c r="AF130" s="82"/>
      <c r="AG130" s="214"/>
      <c r="AH130" s="214"/>
      <c r="AI130" s="214"/>
      <c r="AJ130" s="82"/>
      <c r="AK130" s="82"/>
      <c r="AL130" s="82"/>
      <c r="AM130" s="214"/>
      <c r="AN130" s="214"/>
      <c r="AO130" s="214"/>
      <c r="AP130" s="75"/>
      <c r="AQ130" s="76"/>
      <c r="AR130" s="76"/>
      <c r="AS130" s="76"/>
      <c r="AT130" s="77"/>
      <c r="AU130" s="76"/>
      <c r="AV130" s="78"/>
      <c r="AW130" s="78"/>
      <c r="AX130" s="78"/>
      <c r="AY130" s="202"/>
      <c r="AZ130" s="214"/>
      <c r="BA130" s="78"/>
      <c r="BB130" s="202"/>
      <c r="BC130" s="214"/>
      <c r="BD130" s="78"/>
      <c r="BE130" s="202"/>
      <c r="BF130" s="82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</row>
    <row r="131" spans="1:71" ht="14.5" x14ac:dyDescent="0.35">
      <c r="A131" s="7"/>
      <c r="B131" s="81"/>
      <c r="C131" s="81"/>
      <c r="D131" s="81"/>
      <c r="E131" s="81"/>
      <c r="F131" s="81"/>
      <c r="G131" s="81"/>
      <c r="H131" s="81"/>
      <c r="I131" s="81"/>
      <c r="J131" s="201"/>
      <c r="K131" s="81"/>
      <c r="L131" s="202"/>
      <c r="M131" s="81"/>
      <c r="N131" s="202"/>
      <c r="O131" s="81"/>
      <c r="P131" s="202"/>
      <c r="Q131" s="81"/>
      <c r="R131" s="81"/>
      <c r="S131" s="81"/>
      <c r="T131" s="82"/>
      <c r="U131" s="81"/>
      <c r="V131" s="81"/>
      <c r="W131" s="81"/>
      <c r="X131" s="203"/>
      <c r="Y131" s="81"/>
      <c r="Z131" s="82"/>
      <c r="AA131" s="82"/>
      <c r="AB131" s="82"/>
      <c r="AC131" s="82"/>
      <c r="AD131" s="82"/>
      <c r="AE131" s="82"/>
      <c r="AF131" s="82"/>
      <c r="AG131" s="214"/>
      <c r="AH131" s="214"/>
      <c r="AI131" s="214"/>
      <c r="AJ131" s="82"/>
      <c r="AK131" s="82"/>
      <c r="AL131" s="82"/>
      <c r="AM131" s="214"/>
      <c r="AN131" s="214"/>
      <c r="AO131" s="214"/>
      <c r="AP131" s="75"/>
      <c r="AQ131" s="76"/>
      <c r="AR131" s="76"/>
      <c r="AS131" s="76"/>
      <c r="AT131" s="77"/>
      <c r="AU131" s="76"/>
      <c r="AV131" s="78"/>
      <c r="AW131" s="78"/>
      <c r="AX131" s="78"/>
      <c r="AY131" s="202"/>
      <c r="AZ131" s="214"/>
      <c r="BA131" s="78"/>
      <c r="BB131" s="202"/>
      <c r="BC131" s="214"/>
      <c r="BD131" s="78"/>
      <c r="BE131" s="202"/>
      <c r="BF131" s="82"/>
      <c r="BG131" s="78"/>
      <c r="BH131" s="78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</row>
    <row r="132" spans="1:71" ht="14.5" x14ac:dyDescent="0.35">
      <c r="A132" s="7"/>
      <c r="B132" s="81"/>
      <c r="C132" s="81"/>
      <c r="D132" s="81"/>
      <c r="E132" s="81"/>
      <c r="F132" s="81"/>
      <c r="G132" s="81"/>
      <c r="H132" s="81"/>
      <c r="I132" s="81"/>
      <c r="J132" s="201"/>
      <c r="K132" s="81"/>
      <c r="L132" s="202"/>
      <c r="M132" s="81"/>
      <c r="N132" s="202"/>
      <c r="O132" s="81"/>
      <c r="P132" s="202"/>
      <c r="Q132" s="81"/>
      <c r="R132" s="81"/>
      <c r="S132" s="81"/>
      <c r="T132" s="82"/>
      <c r="U132" s="81"/>
      <c r="V132" s="81"/>
      <c r="W132" s="81"/>
      <c r="X132" s="203"/>
      <c r="Y132" s="81"/>
      <c r="Z132" s="82"/>
      <c r="AA132" s="82"/>
      <c r="AB132" s="82"/>
      <c r="AC132" s="82"/>
      <c r="AD132" s="82"/>
      <c r="AE132" s="82"/>
      <c r="AF132" s="82"/>
      <c r="AG132" s="214"/>
      <c r="AH132" s="214"/>
      <c r="AI132" s="214"/>
      <c r="AJ132" s="82"/>
      <c r="AK132" s="82"/>
      <c r="AL132" s="82"/>
      <c r="AM132" s="214"/>
      <c r="AN132" s="214"/>
      <c r="AO132" s="214"/>
      <c r="AP132" s="75"/>
      <c r="AQ132" s="76"/>
      <c r="AR132" s="76"/>
      <c r="AS132" s="76"/>
      <c r="AT132" s="77"/>
      <c r="AU132" s="76"/>
      <c r="AV132" s="78"/>
      <c r="AW132" s="78"/>
      <c r="AX132" s="78"/>
      <c r="AY132" s="202"/>
      <c r="AZ132" s="214"/>
      <c r="BA132" s="78"/>
      <c r="BB132" s="202"/>
      <c r="BC132" s="214"/>
      <c r="BD132" s="78"/>
      <c r="BE132" s="202"/>
      <c r="BF132" s="82"/>
      <c r="BG132" s="78"/>
      <c r="BH132" s="78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</row>
    <row r="133" spans="1:71" ht="14.5" x14ac:dyDescent="0.35">
      <c r="A133" s="81"/>
      <c r="B133" s="81"/>
      <c r="C133" s="81"/>
      <c r="D133" s="81"/>
      <c r="E133" s="81"/>
      <c r="F133" s="81"/>
      <c r="G133" s="81"/>
      <c r="H133" s="81"/>
      <c r="I133" s="81"/>
      <c r="J133" s="201"/>
      <c r="K133" s="81"/>
      <c r="L133" s="202"/>
      <c r="M133" s="81"/>
      <c r="N133" s="202"/>
      <c r="O133" s="81"/>
      <c r="P133" s="202"/>
      <c r="Q133" s="81"/>
      <c r="R133" s="81"/>
      <c r="S133" s="81"/>
      <c r="T133" s="82"/>
      <c r="U133" s="81"/>
      <c r="V133" s="81"/>
      <c r="W133" s="81"/>
      <c r="X133" s="203"/>
      <c r="Y133" s="81"/>
      <c r="Z133" s="82"/>
      <c r="AA133" s="82"/>
      <c r="AB133" s="82"/>
      <c r="AC133" s="82"/>
      <c r="AD133" s="82"/>
      <c r="AE133" s="82"/>
      <c r="AF133" s="82"/>
      <c r="AG133" s="214"/>
      <c r="AH133" s="214"/>
      <c r="AI133" s="214"/>
      <c r="AJ133" s="82"/>
      <c r="AK133" s="82"/>
      <c r="AL133" s="82"/>
      <c r="AM133" s="214"/>
      <c r="AN133" s="214"/>
      <c r="AO133" s="214"/>
      <c r="AP133" s="75"/>
      <c r="AQ133" s="76"/>
      <c r="AR133" s="76"/>
      <c r="AS133" s="76"/>
      <c r="AT133" s="77"/>
      <c r="AU133" s="76"/>
      <c r="AV133" s="78"/>
      <c r="AW133" s="78"/>
      <c r="AX133" s="78"/>
      <c r="AY133" s="202"/>
      <c r="AZ133" s="214"/>
      <c r="BA133" s="78"/>
      <c r="BB133" s="202"/>
      <c r="BC133" s="214"/>
      <c r="BD133" s="78"/>
      <c r="BE133" s="202"/>
      <c r="BF133" s="82"/>
      <c r="BG133" s="78"/>
      <c r="BH133" s="78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</row>
    <row r="134" spans="1:71" ht="14.5" x14ac:dyDescent="0.35">
      <c r="A134" s="81"/>
      <c r="B134" s="81"/>
      <c r="C134" s="81"/>
      <c r="D134" s="81"/>
      <c r="E134" s="81"/>
      <c r="F134" s="81"/>
      <c r="G134" s="81"/>
      <c r="H134" s="81"/>
      <c r="I134" s="81"/>
      <c r="J134" s="201"/>
      <c r="K134" s="81"/>
      <c r="L134" s="202"/>
      <c r="M134" s="81"/>
      <c r="N134" s="202"/>
      <c r="O134" s="81"/>
      <c r="P134" s="202"/>
      <c r="Q134" s="81"/>
      <c r="R134" s="81"/>
      <c r="S134" s="81"/>
      <c r="T134" s="82"/>
      <c r="U134" s="81"/>
      <c r="V134" s="81"/>
      <c r="W134" s="81"/>
      <c r="X134" s="203"/>
      <c r="Y134" s="81"/>
      <c r="Z134" s="82"/>
      <c r="AA134" s="82"/>
      <c r="AB134" s="82"/>
      <c r="AC134" s="82"/>
      <c r="AD134" s="82"/>
      <c r="AE134" s="82"/>
      <c r="AF134" s="82"/>
      <c r="AG134" s="214"/>
      <c r="AH134" s="214"/>
      <c r="AI134" s="214"/>
      <c r="AJ134" s="82"/>
      <c r="AK134" s="82"/>
      <c r="AL134" s="82"/>
      <c r="AM134" s="214"/>
      <c r="AN134" s="214"/>
      <c r="AO134" s="214"/>
      <c r="AP134" s="75"/>
      <c r="AQ134" s="76"/>
      <c r="AR134" s="76"/>
      <c r="AS134" s="76"/>
      <c r="AT134" s="77"/>
      <c r="AU134" s="76"/>
      <c r="AV134" s="78"/>
      <c r="AW134" s="78"/>
      <c r="AX134" s="78"/>
      <c r="AY134" s="202"/>
      <c r="AZ134" s="214"/>
      <c r="BA134" s="78"/>
      <c r="BB134" s="202"/>
      <c r="BC134" s="214"/>
      <c r="BD134" s="78"/>
      <c r="BE134" s="202"/>
      <c r="BF134" s="82"/>
      <c r="BG134" s="78"/>
      <c r="BH134" s="78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</row>
    <row r="135" spans="1:71" ht="14.5" x14ac:dyDescent="0.35">
      <c r="A135" s="81"/>
      <c r="B135" s="81"/>
      <c r="C135" s="81"/>
      <c r="D135" s="81"/>
      <c r="E135" s="81"/>
      <c r="F135" s="81"/>
      <c r="G135" s="81"/>
      <c r="H135" s="81"/>
      <c r="I135" s="81"/>
      <c r="J135" s="201"/>
      <c r="K135" s="81"/>
      <c r="L135" s="202"/>
      <c r="M135" s="81"/>
      <c r="N135" s="202"/>
      <c r="O135" s="81"/>
      <c r="P135" s="202"/>
      <c r="Q135" s="81"/>
      <c r="R135" s="81"/>
      <c r="S135" s="81"/>
      <c r="T135" s="82"/>
      <c r="U135" s="81"/>
      <c r="V135" s="81"/>
      <c r="W135" s="81"/>
      <c r="X135" s="203"/>
      <c r="Y135" s="81"/>
      <c r="Z135" s="82"/>
      <c r="AA135" s="82"/>
      <c r="AB135" s="82"/>
      <c r="AC135" s="82"/>
      <c r="AD135" s="82"/>
      <c r="AE135" s="82"/>
      <c r="AF135" s="82"/>
      <c r="AG135" s="214"/>
      <c r="AH135" s="214"/>
      <c r="AI135" s="214"/>
      <c r="AJ135" s="82"/>
      <c r="AK135" s="82"/>
      <c r="AL135" s="82"/>
      <c r="AM135" s="214"/>
      <c r="AN135" s="214"/>
      <c r="AO135" s="214"/>
      <c r="AP135" s="75"/>
      <c r="AQ135" s="76"/>
      <c r="AR135" s="76"/>
      <c r="AS135" s="76"/>
      <c r="AT135" s="77"/>
      <c r="AU135" s="76"/>
      <c r="AV135" s="78"/>
      <c r="AW135" s="78"/>
      <c r="AX135" s="78"/>
      <c r="AY135" s="202"/>
      <c r="AZ135" s="214"/>
      <c r="BA135" s="78"/>
      <c r="BB135" s="202"/>
      <c r="BC135" s="214"/>
      <c r="BD135" s="78"/>
      <c r="BE135" s="202"/>
      <c r="BF135" s="82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</row>
    <row r="136" spans="1:71" ht="14.5" x14ac:dyDescent="0.35">
      <c r="A136" s="81"/>
      <c r="B136" s="81"/>
      <c r="C136" s="81"/>
      <c r="D136" s="81"/>
      <c r="E136" s="81"/>
      <c r="F136" s="81"/>
      <c r="G136" s="81"/>
      <c r="H136" s="81"/>
      <c r="I136" s="81"/>
      <c r="J136" s="201"/>
      <c r="K136" s="81"/>
      <c r="L136" s="202"/>
      <c r="M136" s="81"/>
      <c r="N136" s="202"/>
      <c r="O136" s="81"/>
      <c r="P136" s="202"/>
      <c r="Q136" s="81"/>
      <c r="R136" s="81"/>
      <c r="S136" s="81"/>
      <c r="T136" s="82"/>
      <c r="U136" s="81"/>
      <c r="V136" s="81"/>
      <c r="W136" s="81"/>
      <c r="X136" s="203"/>
      <c r="Y136" s="81"/>
      <c r="Z136" s="82"/>
      <c r="AA136" s="82"/>
      <c r="AB136" s="82"/>
      <c r="AC136" s="82"/>
      <c r="AD136" s="82"/>
      <c r="AE136" s="82"/>
      <c r="AF136" s="82"/>
      <c r="AG136" s="214"/>
      <c r="AH136" s="214"/>
      <c r="AI136" s="214"/>
      <c r="AJ136" s="82"/>
      <c r="AK136" s="82"/>
      <c r="AL136" s="82"/>
      <c r="AM136" s="214"/>
      <c r="AN136" s="214"/>
      <c r="AO136" s="214"/>
      <c r="AP136" s="75"/>
      <c r="AQ136" s="76"/>
      <c r="AR136" s="76"/>
      <c r="AS136" s="76"/>
      <c r="AT136" s="77"/>
      <c r="AU136" s="76"/>
      <c r="AV136" s="78"/>
      <c r="AW136" s="78"/>
      <c r="AX136" s="78"/>
      <c r="AY136" s="202"/>
      <c r="AZ136" s="214"/>
      <c r="BA136" s="78"/>
      <c r="BB136" s="202"/>
      <c r="BC136" s="214"/>
      <c r="BD136" s="78"/>
      <c r="BE136" s="202"/>
      <c r="BF136" s="82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</row>
  </sheetData>
  <mergeCells count="2">
    <mergeCell ref="AG116:AI116"/>
    <mergeCell ref="AN116:AO116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5D7289E633748910BCD000B9F727E" ma:contentTypeVersion="15" ma:contentTypeDescription="Create a new document." ma:contentTypeScope="" ma:versionID="fc982670fc6a0337b8d1ded4f11a8dbe">
  <xsd:schema xmlns:xsd="http://www.w3.org/2001/XMLSchema" xmlns:xs="http://www.w3.org/2001/XMLSchema" xmlns:p="http://schemas.microsoft.com/office/2006/metadata/properties" xmlns:ns2="4c13c8ee-05e2-4241-be9c-b96764146f8c" xmlns:ns3="b9773571-a692-4ba2-aaa9-1b93d11062ad" targetNamespace="http://schemas.microsoft.com/office/2006/metadata/properties" ma:root="true" ma:fieldsID="2256bd1797fae7d155b22e9c55efe510" ns2:_="" ns3:_="">
    <xsd:import namespace="4c13c8ee-05e2-4241-be9c-b96764146f8c"/>
    <xsd:import namespace="b9773571-a692-4ba2-aaa9-1b93d1106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c8ee-05e2-4241-be9c-b96764146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309668b-48a0-4a22-89ec-54d057dce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73571-a692-4ba2-aaa9-1b93d11062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297d5d-4f1b-40e0-8aa5-c3f718aa79ed}" ma:internalName="TaxCatchAll" ma:showField="CatchAllData" ma:web="b9773571-a692-4ba2-aaa9-1b93d11062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13c8ee-05e2-4241-be9c-b96764146f8c">
      <Terms xmlns="http://schemas.microsoft.com/office/infopath/2007/PartnerControls"/>
    </lcf76f155ced4ddcb4097134ff3c332f>
    <TaxCatchAll xmlns="b9773571-a692-4ba2-aaa9-1b93d11062ad" xsi:nil="true"/>
  </documentManagement>
</p:properties>
</file>

<file path=customXml/itemProps1.xml><?xml version="1.0" encoding="utf-8"?>
<ds:datastoreItem xmlns:ds="http://schemas.openxmlformats.org/officeDocument/2006/customXml" ds:itemID="{3B18C9F4-C411-436A-BED2-B07A23D6C829}"/>
</file>

<file path=customXml/itemProps2.xml><?xml version="1.0" encoding="utf-8"?>
<ds:datastoreItem xmlns:ds="http://schemas.openxmlformats.org/officeDocument/2006/customXml" ds:itemID="{77D8C61E-A3AD-4FC7-80EE-84AF7885877A}"/>
</file>

<file path=customXml/itemProps3.xml><?xml version="1.0" encoding="utf-8"?>
<ds:datastoreItem xmlns:ds="http://schemas.openxmlformats.org/officeDocument/2006/customXml" ds:itemID="{52A0CD3C-F55E-4334-B56E-D76999ECC2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GINI_Analysis</vt:lpstr>
      <vt:lpstr>Gini</vt:lpstr>
      <vt:lpstr>Final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MacKay</dc:creator>
  <cp:lastModifiedBy>Kelsey MacKay</cp:lastModifiedBy>
  <dcterms:created xsi:type="dcterms:W3CDTF">2026-02-25T09:14:20Z</dcterms:created>
  <dcterms:modified xsi:type="dcterms:W3CDTF">2026-02-25T13:34:22Z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0x010100C835D7289E633748910BCD000B9F727E</vt:lpwstr>
  </property>
</Properties>
</file>